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7c0a2f26e30c5e3/Desktop/bigbrainblockchain3/"/>
    </mc:Choice>
  </mc:AlternateContent>
  <xr:revisionPtr revIDLastSave="0" documentId="8_{929A3DD3-4D12-40D4-A8F3-ACEC119C1D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_TXN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0" i="1" l="1"/>
  <c r="P127" i="1"/>
  <c r="O127" i="1"/>
  <c r="L127" i="1"/>
  <c r="H127" i="1"/>
  <c r="F127" i="1"/>
  <c r="D127" i="1"/>
  <c r="P126" i="1"/>
  <c r="L126" i="1"/>
  <c r="H126" i="1"/>
  <c r="F126" i="1"/>
  <c r="E126" i="1"/>
  <c r="D126" i="1"/>
  <c r="P125" i="1"/>
  <c r="M125" i="1"/>
  <c r="L125" i="1"/>
  <c r="H125" i="1"/>
  <c r="F125" i="1"/>
  <c r="D125" i="1"/>
  <c r="N124" i="1"/>
  <c r="L124" i="1"/>
  <c r="H124" i="1"/>
  <c r="L123" i="1"/>
  <c r="K123" i="1"/>
  <c r="J123" i="1"/>
  <c r="N121" i="1"/>
  <c r="H121" i="1"/>
  <c r="D121" i="1"/>
  <c r="L120" i="1"/>
  <c r="K120" i="1"/>
  <c r="N119" i="1"/>
  <c r="L119" i="1"/>
  <c r="H119" i="1"/>
  <c r="D119" i="1"/>
  <c r="P117" i="1"/>
  <c r="N117" i="1"/>
  <c r="L117" i="1"/>
  <c r="J117" i="1"/>
  <c r="D117" i="1"/>
  <c r="P116" i="1"/>
  <c r="N116" i="1"/>
  <c r="L116" i="1"/>
  <c r="J116" i="1"/>
  <c r="H116" i="1"/>
  <c r="E116" i="1"/>
  <c r="D116" i="1"/>
  <c r="N115" i="1"/>
  <c r="L115" i="1"/>
  <c r="K115" i="1"/>
  <c r="J115" i="1"/>
  <c r="H115" i="1"/>
  <c r="D115" i="1"/>
  <c r="O114" i="1"/>
  <c r="N114" i="1"/>
  <c r="L114" i="1"/>
  <c r="O113" i="1"/>
  <c r="N113" i="1"/>
  <c r="L113" i="1"/>
  <c r="H113" i="1"/>
  <c r="D113" i="1"/>
  <c r="N112" i="1"/>
  <c r="L112" i="1"/>
  <c r="I112" i="1"/>
  <c r="H112" i="1"/>
  <c r="D112" i="1"/>
  <c r="K111" i="1"/>
  <c r="J111" i="1"/>
  <c r="D111" i="1"/>
  <c r="N110" i="1"/>
  <c r="L110" i="1"/>
  <c r="H110" i="1"/>
  <c r="F110" i="1"/>
  <c r="D110" i="1"/>
  <c r="N109" i="1"/>
  <c r="L109" i="1"/>
  <c r="I109" i="1"/>
  <c r="H109" i="1"/>
  <c r="F109" i="1"/>
  <c r="D109" i="1"/>
  <c r="K108" i="1"/>
  <c r="H108" i="1"/>
  <c r="D108" i="1"/>
  <c r="O107" i="1"/>
  <c r="N107" i="1"/>
  <c r="L107" i="1"/>
  <c r="J107" i="1"/>
  <c r="H107" i="1"/>
  <c r="D107" i="1"/>
  <c r="N106" i="1"/>
  <c r="L106" i="1"/>
  <c r="J106" i="1"/>
  <c r="H106" i="1"/>
  <c r="D106" i="1"/>
  <c r="L105" i="1"/>
  <c r="H105" i="1"/>
  <c r="D105" i="1"/>
  <c r="N103" i="1"/>
  <c r="L103" i="1"/>
  <c r="J103" i="1"/>
  <c r="H103" i="1"/>
  <c r="D103" i="1"/>
  <c r="J102" i="1"/>
  <c r="H102" i="1"/>
  <c r="D102" i="1"/>
  <c r="N101" i="1"/>
  <c r="J101" i="1"/>
  <c r="D101" i="1"/>
  <c r="P99" i="1"/>
  <c r="J99" i="1"/>
  <c r="H99" i="1"/>
  <c r="F99" i="1"/>
  <c r="D99" i="1"/>
  <c r="P97" i="1"/>
  <c r="L97" i="1"/>
  <c r="J97" i="1"/>
  <c r="H97" i="1"/>
  <c r="F97" i="1"/>
  <c r="D97" i="1"/>
  <c r="N96" i="1"/>
  <c r="L96" i="1"/>
  <c r="J96" i="1"/>
  <c r="H96" i="1"/>
  <c r="D96" i="1"/>
  <c r="P95" i="1"/>
  <c r="N95" i="1"/>
  <c r="L95" i="1"/>
  <c r="K95" i="1"/>
  <c r="J95" i="1"/>
  <c r="H95" i="1"/>
  <c r="F95" i="1"/>
  <c r="D95" i="1"/>
  <c r="N92" i="1"/>
  <c r="J92" i="1"/>
  <c r="I92" i="1"/>
  <c r="H92" i="1"/>
  <c r="F92" i="1"/>
  <c r="D92" i="1"/>
  <c r="N91" i="1"/>
  <c r="J91" i="1"/>
  <c r="H91" i="1"/>
  <c r="G91" i="1"/>
  <c r="F91" i="1"/>
  <c r="D91" i="1"/>
  <c r="P89" i="1"/>
  <c r="N89" i="1"/>
  <c r="L89" i="1"/>
  <c r="J89" i="1"/>
  <c r="F89" i="1"/>
  <c r="D89" i="1"/>
  <c r="L87" i="1"/>
  <c r="I87" i="1"/>
  <c r="H87" i="1"/>
  <c r="D87" i="1"/>
  <c r="D86" i="1"/>
  <c r="L85" i="1"/>
  <c r="J85" i="1"/>
  <c r="H85" i="1"/>
  <c r="D85" i="1"/>
  <c r="P83" i="1"/>
  <c r="N83" i="1"/>
  <c r="L83" i="1"/>
  <c r="J83" i="1"/>
  <c r="H83" i="1"/>
  <c r="F83" i="1"/>
  <c r="D83" i="1"/>
  <c r="P73" i="1"/>
  <c r="L73" i="1"/>
  <c r="J73" i="1"/>
  <c r="D73" i="1"/>
  <c r="P72" i="1"/>
  <c r="N72" i="1"/>
  <c r="L72" i="1"/>
  <c r="J72" i="1"/>
  <c r="H72" i="1"/>
  <c r="F72" i="1"/>
  <c r="D72" i="1"/>
  <c r="P71" i="1"/>
  <c r="L71" i="1"/>
  <c r="J71" i="1"/>
  <c r="D71" i="1"/>
  <c r="J70" i="1"/>
  <c r="D70" i="1"/>
  <c r="J64" i="1"/>
  <c r="H64" i="1"/>
  <c r="D64" i="1"/>
  <c r="N63" i="1"/>
  <c r="J63" i="1"/>
  <c r="H63" i="1"/>
  <c r="D63" i="1"/>
  <c r="P61" i="1"/>
  <c r="L61" i="1"/>
  <c r="I61" i="1"/>
  <c r="H61" i="1"/>
  <c r="D61" i="1"/>
  <c r="P60" i="1"/>
  <c r="L60" i="1"/>
  <c r="H60" i="1"/>
  <c r="D60" i="1"/>
  <c r="P59" i="1"/>
  <c r="N59" i="1"/>
  <c r="L59" i="1"/>
  <c r="H59" i="1"/>
  <c r="D59" i="1"/>
  <c r="L58" i="1"/>
  <c r="J58" i="1"/>
  <c r="H58" i="1"/>
  <c r="F58" i="1"/>
  <c r="D58" i="1"/>
  <c r="L57" i="1"/>
  <c r="H57" i="1"/>
  <c r="F57" i="1"/>
  <c r="D57" i="1"/>
  <c r="M55" i="1"/>
  <c r="D55" i="1"/>
  <c r="P54" i="1"/>
  <c r="L54" i="1"/>
  <c r="J54" i="1"/>
  <c r="H54" i="1"/>
  <c r="F54" i="1"/>
  <c r="D54" i="1"/>
  <c r="N53" i="1"/>
  <c r="L53" i="1"/>
  <c r="H53" i="1"/>
  <c r="D53" i="1"/>
  <c r="N52" i="1"/>
  <c r="L52" i="1"/>
  <c r="J52" i="1"/>
  <c r="H52" i="1"/>
  <c r="F52" i="1"/>
  <c r="H50" i="1"/>
  <c r="Q49" i="1"/>
  <c r="O49" i="1"/>
  <c r="K49" i="1"/>
  <c r="J49" i="1"/>
  <c r="I49" i="1"/>
  <c r="E49" i="1"/>
  <c r="P48" i="1"/>
  <c r="N48" i="1"/>
  <c r="J48" i="1"/>
  <c r="H48" i="1"/>
  <c r="D48" i="1"/>
  <c r="N47" i="1"/>
  <c r="L47" i="1"/>
  <c r="H47" i="1"/>
  <c r="D47" i="1"/>
  <c r="N46" i="1"/>
  <c r="L46" i="1"/>
  <c r="H46" i="1"/>
  <c r="D46" i="1"/>
  <c r="N45" i="1"/>
  <c r="L45" i="1"/>
  <c r="H45" i="1"/>
  <c r="D45" i="1"/>
  <c r="N44" i="1"/>
  <c r="L44" i="1"/>
  <c r="H44" i="1"/>
  <c r="D44" i="1"/>
  <c r="N43" i="1"/>
  <c r="L43" i="1"/>
  <c r="J43" i="1"/>
  <c r="H43" i="1"/>
  <c r="D43" i="1"/>
  <c r="N42" i="1"/>
  <c r="L42" i="1"/>
  <c r="J42" i="1"/>
  <c r="D42" i="1"/>
  <c r="N41" i="1"/>
  <c r="L41" i="1"/>
  <c r="H41" i="1"/>
  <c r="D41" i="1"/>
  <c r="L40" i="1"/>
  <c r="H40" i="1"/>
  <c r="D40" i="1"/>
  <c r="L39" i="1"/>
  <c r="J39" i="1"/>
  <c r="D39" i="1"/>
  <c r="N38" i="1"/>
  <c r="L38" i="1"/>
  <c r="H38" i="1"/>
  <c r="F38" i="1"/>
  <c r="D38" i="1"/>
  <c r="K37" i="1"/>
  <c r="D36" i="1"/>
  <c r="P34" i="1"/>
  <c r="N34" i="1"/>
  <c r="M34" i="1"/>
  <c r="J34" i="1"/>
  <c r="H34" i="1"/>
  <c r="G34" i="1"/>
  <c r="F34" i="1"/>
  <c r="D34" i="1"/>
  <c r="D33" i="1"/>
  <c r="N30" i="1"/>
  <c r="L30" i="1"/>
  <c r="I30" i="1"/>
  <c r="H30" i="1"/>
  <c r="D30" i="1"/>
  <c r="N29" i="1"/>
  <c r="L29" i="1"/>
  <c r="J29" i="1"/>
  <c r="H29" i="1"/>
  <c r="D29" i="1"/>
  <c r="N28" i="1"/>
  <c r="L28" i="1"/>
  <c r="H28" i="1"/>
  <c r="D28" i="1"/>
  <c r="P26" i="1"/>
  <c r="O26" i="1"/>
  <c r="D26" i="1"/>
  <c r="N25" i="1"/>
  <c r="L25" i="1"/>
  <c r="P24" i="1"/>
  <c r="N24" i="1"/>
  <c r="L24" i="1"/>
  <c r="J24" i="1"/>
  <c r="H24" i="1"/>
  <c r="D24" i="1"/>
  <c r="P23" i="1"/>
  <c r="N23" i="1"/>
  <c r="L23" i="1"/>
  <c r="J23" i="1"/>
  <c r="H23" i="1"/>
  <c r="D23" i="1"/>
  <c r="K21" i="1"/>
  <c r="H21" i="1"/>
  <c r="J20" i="1"/>
  <c r="I20" i="1"/>
  <c r="N19" i="1"/>
  <c r="L19" i="1"/>
  <c r="H19" i="1"/>
  <c r="F19" i="1"/>
  <c r="D19" i="1"/>
  <c r="N17" i="1"/>
  <c r="L17" i="1"/>
  <c r="H17" i="1"/>
  <c r="F17" i="1"/>
  <c r="D17" i="1"/>
  <c r="N14" i="1"/>
  <c r="L14" i="1"/>
  <c r="J14" i="1"/>
  <c r="H14" i="1"/>
  <c r="D14" i="1"/>
  <c r="N13" i="1"/>
  <c r="L13" i="1"/>
  <c r="J13" i="1"/>
  <c r="H13" i="1"/>
  <c r="D13" i="1"/>
  <c r="N12" i="1"/>
  <c r="L12" i="1"/>
  <c r="J12" i="1"/>
  <c r="H12" i="1"/>
  <c r="D12" i="1"/>
  <c r="P11" i="1"/>
  <c r="L11" i="1"/>
  <c r="J11" i="1"/>
  <c r="H11" i="1"/>
  <c r="D11" i="1"/>
  <c r="L10" i="1"/>
  <c r="J10" i="1"/>
  <c r="H10" i="1"/>
  <c r="D10" i="1"/>
  <c r="K9" i="1"/>
  <c r="I7" i="1"/>
  <c r="L6" i="1"/>
  <c r="J6" i="1"/>
  <c r="H6" i="1"/>
  <c r="D6" i="1"/>
  <c r="L5" i="1"/>
  <c r="H5" i="1"/>
  <c r="D5" i="1"/>
  <c r="N4" i="1"/>
  <c r="L4" i="1"/>
  <c r="H4" i="1"/>
  <c r="D4" i="1"/>
  <c r="N3" i="1"/>
  <c r="L3" i="1"/>
  <c r="H3" i="1"/>
  <c r="D3" i="1"/>
</calcChain>
</file>

<file path=xl/sharedStrings.xml><?xml version="1.0" encoding="utf-8"?>
<sst xmlns="http://schemas.openxmlformats.org/spreadsheetml/2006/main" count="286" uniqueCount="218">
  <si>
    <t>Deng</t>
  </si>
  <si>
    <t>Dong</t>
  </si>
  <si>
    <t>Li</t>
  </si>
  <si>
    <t>Lin</t>
  </si>
  <si>
    <t>Ng</t>
  </si>
  <si>
    <t>Sim</t>
  </si>
  <si>
    <t>Yu</t>
  </si>
  <si>
    <t>DATE</t>
  </si>
  <si>
    <t>ITEM</t>
  </si>
  <si>
    <t>NOTES</t>
  </si>
  <si>
    <t>Debit</t>
  </si>
  <si>
    <t>Credit</t>
  </si>
  <si>
    <t>Lucky 9 Lanes bowling</t>
  </si>
  <si>
    <t>50$ hour + 5$ shoe rental</t>
  </si>
  <si>
    <t>Gang Nam KBBQ dinner</t>
  </si>
  <si>
    <t>10% tips (tips on tax) + 3$ rice that they billed us randomly</t>
  </si>
  <si>
    <t>Italian Tomato dinner</t>
  </si>
  <si>
    <t>bill evenly split (Deng, Li. Ng)</t>
  </si>
  <si>
    <t>Pearl Castle dinner</t>
  </si>
  <si>
    <t>paid 105$</t>
  </si>
  <si>
    <t>JW4 movie tickets</t>
  </si>
  <si>
    <t>Snape killed Dumbledore</t>
  </si>
  <si>
    <t>Bubble Waffle dinner</t>
  </si>
  <si>
    <t>/</t>
  </si>
  <si>
    <t>Royal Seoul House dinner</t>
  </si>
  <si>
    <t>15% tips (tip on total bill); Timmy's BDay celebration</t>
  </si>
  <si>
    <t>Thai Son dinner</t>
  </si>
  <si>
    <t>10$ tips (76.8$ total)</t>
  </si>
  <si>
    <t>Rec Room arcade credits</t>
  </si>
  <si>
    <t>Dynasty Dumpling House dinner</t>
  </si>
  <si>
    <t>Even split between 5</t>
  </si>
  <si>
    <t>T&amp;T misc items</t>
  </si>
  <si>
    <t>Walmart misc items</t>
  </si>
  <si>
    <t>Poker night</t>
  </si>
  <si>
    <t>Buy-in-34.5$; Deng-48.20$; Ng-21.20$; Sim-28.90$; Lin-72.25$; Li-0$; People can't count for shit, and we lost 1.95$ somewhere (rewarded to Timmy, thanks for the 1 am ride)</t>
  </si>
  <si>
    <t>Online poker</t>
  </si>
  <si>
    <t>Buy-in $10; Sim $0, Ng $0, $10.28, $29.72</t>
  </si>
  <si>
    <t>T&amp;T hotpot items</t>
  </si>
  <si>
    <t>Sim got his drink mixed in, otherwise even split between 5</t>
  </si>
  <si>
    <t>Hotpot misc</t>
  </si>
  <si>
    <t>Fishballs</t>
  </si>
  <si>
    <t>Hotpot MEATS</t>
  </si>
  <si>
    <t>2 packs of meat</t>
  </si>
  <si>
    <t>Banh Mi Tres Bon dinner</t>
  </si>
  <si>
    <t>15% tip</t>
  </si>
  <si>
    <t>McDonald's</t>
  </si>
  <si>
    <t>Pal Pal Noodle House dinner</t>
  </si>
  <si>
    <t>18% tip</t>
  </si>
  <si>
    <t>Imperial Hobbies</t>
  </si>
  <si>
    <t>Even split between 6</t>
  </si>
  <si>
    <t>T&amp;T party misc items</t>
  </si>
  <si>
    <t>2.50$ parking ticket (Li) refund is included as discount; taxes are calculated before any discounts; subtotal before discount = 18.29$; even split between 6</t>
  </si>
  <si>
    <t>Sushi California Doordash</t>
  </si>
  <si>
    <t>50% discount up to $20</t>
  </si>
  <si>
    <t>The Great Indian Crusine Doordash</t>
  </si>
  <si>
    <t>Leon &amp; Timmy</t>
  </si>
  <si>
    <t>Even split between 4</t>
  </si>
  <si>
    <t>Memory Corner dinner</t>
  </si>
  <si>
    <t xml:space="preserve">15% tips </t>
  </si>
  <si>
    <t>Walmart card games</t>
  </si>
  <si>
    <t>Tokyo &amp; Beauty</t>
  </si>
  <si>
    <t>Senka Perfect Whip</t>
  </si>
  <si>
    <t xml:space="preserve">Prime Sale </t>
  </si>
  <si>
    <t>drawing tablet</t>
  </si>
  <si>
    <t>Movie Tickets</t>
  </si>
  <si>
    <t>Oppenheimer killed Dumbledore</t>
  </si>
  <si>
    <t>Hanpan Korea dinner</t>
  </si>
  <si>
    <t>Movie drinks</t>
  </si>
  <si>
    <t>3$ from Ng, Li, Sim each</t>
  </si>
  <si>
    <t>Etransfer</t>
  </si>
  <si>
    <t>Andy: $0 (-$5); Henry: $0 (-$10); Leon: $18.9 (+$8.9); Jayden: $1.65 (-$3.35); Calvin: $3.55 (-$6.45); Danny: $22.65 (+$17.65)</t>
  </si>
  <si>
    <t>Movie Parking</t>
  </si>
  <si>
    <t>7$</t>
  </si>
  <si>
    <t>Micha dinner</t>
  </si>
  <si>
    <t>70%; even split</t>
  </si>
  <si>
    <t>MrBro dinner</t>
  </si>
  <si>
    <t>11.10$ tips (15.75% before tax)</t>
  </si>
  <si>
    <t>Timmy paid 71$; Danny paid 40$; ~12.3% tips</t>
  </si>
  <si>
    <t>Hiking gas money</t>
  </si>
  <si>
    <t>Timmy pulled this number out of his ass</t>
  </si>
  <si>
    <t>Nam Han San Sung Korean dinner</t>
  </si>
  <si>
    <t>20% tips after tax</t>
  </si>
  <si>
    <t>Afuri dinner</t>
  </si>
  <si>
    <t>15% tips after tax</t>
  </si>
  <si>
    <t>24$; Timmy pulled this number out of his ass again</t>
  </si>
  <si>
    <t xml:space="preserve">Premium bug spray </t>
  </si>
  <si>
    <t>Motonobu Udon dinner</t>
  </si>
  <si>
    <t>Nordel Sushi</t>
  </si>
  <si>
    <t>12% auto gratuity + $10 blow from waitress</t>
  </si>
  <si>
    <t>CC cashback rebate from Leon (4%)</t>
  </si>
  <si>
    <t>Timmy LOSING challenge payment</t>
  </si>
  <si>
    <t>Gas</t>
  </si>
  <si>
    <t>50 km @ 10.1 L/100 km</t>
  </si>
  <si>
    <t>15% tips before tax (20% tips + tax)</t>
  </si>
  <si>
    <t>Sanpoutei Ramen dinner</t>
  </si>
  <si>
    <t>Seoul Grill House dinner</t>
  </si>
  <si>
    <t>splitting timmys tip for gas money + ttimmy ordered a drink and I dont remember how much it is so we are splitting that as well</t>
  </si>
  <si>
    <t>KMS Tools</t>
  </si>
  <si>
    <t>Missing receipt; Big SUS; 23.89$ on Ng's credit card; for all we know Deng's tool could have cost 23.88$</t>
  </si>
  <si>
    <t>The Body Shop</t>
  </si>
  <si>
    <t>Missing receipt again</t>
  </si>
  <si>
    <t>Hibiki Ramen Yakitori Bar dinner</t>
  </si>
  <si>
    <t>20% (tips+tax)</t>
  </si>
  <si>
    <t>Mama Fan dinner</t>
  </si>
  <si>
    <t>14.13$ tips (or 15% tips after tax); that is 14.13$ too much for being so shiet</t>
  </si>
  <si>
    <t>The Mexican dinner</t>
  </si>
  <si>
    <t>18% tips before tax; 10% pst on bottles</t>
  </si>
  <si>
    <t>Coal Harbour Bike Rental</t>
  </si>
  <si>
    <t>Parking</t>
  </si>
  <si>
    <t>Coal Harbour + Downtown</t>
  </si>
  <si>
    <t>Blushing Memory</t>
  </si>
  <si>
    <t>Timmy's lube</t>
  </si>
  <si>
    <t>Samsoonie</t>
  </si>
  <si>
    <t>15% tips before tax</t>
  </si>
  <si>
    <t>online order</t>
  </si>
  <si>
    <t>Misc</t>
  </si>
  <si>
    <t>French bread + juice</t>
  </si>
  <si>
    <t>Spy x Family</t>
  </si>
  <si>
    <t>5 guys 0 girls</t>
  </si>
  <si>
    <t>Bowling</t>
  </si>
  <si>
    <t>1 monkey vs 10 pins</t>
  </si>
  <si>
    <t>Shoe rental</t>
  </si>
  <si>
    <t>Sandals for the chimp</t>
  </si>
  <si>
    <t>7-11 drink</t>
  </si>
  <si>
    <t>diet coke + coke</t>
  </si>
  <si>
    <t>banh meat soup</t>
  </si>
  <si>
    <t>Espot pools</t>
  </si>
  <si>
    <t>Pool table 16.25$ an hour</t>
  </si>
  <si>
    <t>Matsuyama dinner</t>
  </si>
  <si>
    <t>Calvin's treat***; 15% mandatory service charge</t>
  </si>
  <si>
    <t>Tang Vietnamese Restaurant Bar dinner</t>
  </si>
  <si>
    <t>Costco Haul</t>
  </si>
  <si>
    <t>chicken wing nib</t>
  </si>
  <si>
    <t>Save on food</t>
  </si>
  <si>
    <t>Jarritos</t>
  </si>
  <si>
    <t>Kokoro Ramen</t>
  </si>
  <si>
    <t>17% tips after tax</t>
  </si>
  <si>
    <t>badminton court</t>
  </si>
  <si>
    <t>foot fungus</t>
  </si>
  <si>
    <t>Daan Korean</t>
  </si>
  <si>
    <t>08/17/2024</t>
  </si>
  <si>
    <t>Gami Sushi</t>
  </si>
  <si>
    <t>jayden back</t>
  </si>
  <si>
    <t>08/26/2024</t>
  </si>
  <si>
    <t>Amazon Order</t>
  </si>
  <si>
    <t>loud ahh keyboard</t>
  </si>
  <si>
    <t>Fish With You</t>
  </si>
  <si>
    <t>oily soup</t>
  </si>
  <si>
    <t>Edo</t>
  </si>
  <si>
    <t>chicken terriyaki</t>
  </si>
  <si>
    <t>Green Basil Thai dinner</t>
  </si>
  <si>
    <t>15% after tax</t>
  </si>
  <si>
    <t>Battlefield 2042</t>
  </si>
  <si>
    <t>Popeye lunch</t>
  </si>
  <si>
    <t>15% tips after tax; even split</t>
  </si>
  <si>
    <t>AYA Beef Noodle House lunch</t>
  </si>
  <si>
    <t>Korean Sexy Girls Game</t>
  </si>
  <si>
    <t>Steam gift</t>
  </si>
  <si>
    <t>15% tips after tax; split 6 ways</t>
  </si>
  <si>
    <t>For The King II</t>
  </si>
  <si>
    <t>Fanatical</t>
  </si>
  <si>
    <t>Venom Movie</t>
  </si>
  <si>
    <t>forgotten movie</t>
  </si>
  <si>
    <t>Sanpoutei Ramen</t>
  </si>
  <si>
    <t>Plate Up</t>
  </si>
  <si>
    <t>Santouka Ramen</t>
  </si>
  <si>
    <t>15.2% tips</t>
  </si>
  <si>
    <t>Cypress Coach Lines</t>
  </si>
  <si>
    <t>Pho 68 dinner</t>
  </si>
  <si>
    <t>15% tips; no tax (thanks justin)</t>
  </si>
  <si>
    <t>Silver Tower</t>
  </si>
  <si>
    <t>15% tips; $0.11 "pst"</t>
  </si>
  <si>
    <t>McDonald's takeout</t>
  </si>
  <si>
    <t>Everyone except Ng and Sim</t>
  </si>
  <si>
    <t>soup curry</t>
  </si>
  <si>
    <t>indianz</t>
  </si>
  <si>
    <t>Lotto</t>
  </si>
  <si>
    <t>$40 pack</t>
  </si>
  <si>
    <t>Lemongrass Kingsway</t>
  </si>
  <si>
    <t>Talay Thai Restaurant dinner</t>
  </si>
  <si>
    <t>21.02$ tips; the handwritings are terrible but it's 132.9$ before tax and tips</t>
  </si>
  <si>
    <t>McDicks On Calvin</t>
  </si>
  <si>
    <t>Samsoonie Noodle and Rice dinner</t>
  </si>
  <si>
    <t>$11.22 tips (or~16.296% tips+tax)</t>
  </si>
  <si>
    <t>HK  BBQ Master dinner</t>
  </si>
  <si>
    <t>95$ total</t>
  </si>
  <si>
    <t>West Coast Mini Putt</t>
  </si>
  <si>
    <t>92.5$ total</t>
  </si>
  <si>
    <t>Beckett card grading</t>
  </si>
  <si>
    <t>43% Danny 57% Timmy</t>
  </si>
  <si>
    <t>Myth Szechuan dinner</t>
  </si>
  <si>
    <t>$30.02 tips; everything even split besides drinks</t>
  </si>
  <si>
    <t>Kirbies</t>
  </si>
  <si>
    <t>Stanley Park parking</t>
  </si>
  <si>
    <t>absolute ripoff</t>
  </si>
  <si>
    <t>1hr15min prorated; jayden/calvin/timmy/danny split</t>
  </si>
  <si>
    <t>Thai Away dinner</t>
  </si>
  <si>
    <t>Calvin/Jayden even split; no reciept because the cashier is too intimitating for calvin to ask</t>
  </si>
  <si>
    <t>Richmond Indoor Paintball</t>
  </si>
  <si>
    <t>Monitor</t>
  </si>
  <si>
    <t>Split 1: Calvin; Split 2: Timmy; Split 3: Jayden; Split 4: Danny; 102$ in cash</t>
  </si>
  <si>
    <t>KKONAW shipment</t>
  </si>
  <si>
    <t>$11.19 Shippsy + $2.44 CBSA</t>
  </si>
  <si>
    <t>KOKORO Tokyo Mazesoba</t>
  </si>
  <si>
    <t>$60 Danny, $2 Calvin</t>
  </si>
  <si>
    <t>YouTube premium</t>
  </si>
  <si>
    <t>23 months</t>
  </si>
  <si>
    <t>Amazon.ca</t>
  </si>
  <si>
    <t>$7.55 tips</t>
  </si>
  <si>
    <t>IHOP lunch</t>
  </si>
  <si>
    <t>15$ tips (or 13% after tax)</t>
  </si>
  <si>
    <t>Avatar Movie</t>
  </si>
  <si>
    <t>Split among everyone except Leon (paid by Calvin online)</t>
  </si>
  <si>
    <t>Aberdeen</t>
  </si>
  <si>
    <t>WHERE'S THE RECEIPT -CALVIN</t>
  </si>
  <si>
    <t>Hotpot</t>
  </si>
  <si>
    <t>too many receipts</t>
  </si>
  <si>
    <t>Digimon Story Cyber Sleuth: Complete Edition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</si>
</sst>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[$$]"/>
    <numFmt numFmtId="165" formatCode="d/m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30"/>
  <sheetViews>
    <sheetView tabSelected="1"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x14ac:dyDescent="0.2"/>
  <cols>
    <col min="1" max="2" width="10.140625" customWidth="1"/>
    <col min="3" max="3" width="23.140625" customWidth="1"/>
    <col min="4" max="17" width="10.140625" customWidth="1"/>
  </cols>
  <sheetData>
    <row r="1" spans="1:17" ht="12.75" x14ac:dyDescent="0.2">
      <c r="A1" s="1"/>
      <c r="B1" s="2"/>
      <c r="C1" s="2"/>
      <c r="D1" s="3" t="s">
        <v>0</v>
      </c>
      <c r="E1" s="3" t="s">
        <v>0</v>
      </c>
      <c r="F1" s="3" t="s">
        <v>1</v>
      </c>
      <c r="G1" s="3" t="s">
        <v>1</v>
      </c>
      <c r="H1" s="4" t="s">
        <v>2</v>
      </c>
      <c r="I1" s="4" t="s">
        <v>2</v>
      </c>
      <c r="J1" s="4" t="s">
        <v>3</v>
      </c>
      <c r="K1" s="4" t="s">
        <v>3</v>
      </c>
      <c r="L1" s="3" t="s">
        <v>4</v>
      </c>
      <c r="M1" s="3" t="s">
        <v>4</v>
      </c>
      <c r="N1" s="3" t="s">
        <v>5</v>
      </c>
      <c r="O1" s="3" t="s">
        <v>5</v>
      </c>
      <c r="P1" s="3" t="s">
        <v>6</v>
      </c>
      <c r="Q1" s="3" t="s">
        <v>6</v>
      </c>
    </row>
    <row r="2" spans="1:17" ht="12.75" x14ac:dyDescent="0.2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10</v>
      </c>
      <c r="G2" s="2" t="s">
        <v>11</v>
      </c>
      <c r="H2" s="2" t="s">
        <v>10</v>
      </c>
      <c r="I2" s="2" t="s">
        <v>11</v>
      </c>
      <c r="J2" s="5" t="s">
        <v>10</v>
      </c>
      <c r="K2" s="5" t="s">
        <v>11</v>
      </c>
      <c r="L2" s="2" t="s">
        <v>10</v>
      </c>
      <c r="M2" s="2" t="s">
        <v>11</v>
      </c>
      <c r="N2" s="2" t="s">
        <v>10</v>
      </c>
      <c r="O2" s="2" t="s">
        <v>11</v>
      </c>
      <c r="P2" s="2" t="s">
        <v>10</v>
      </c>
      <c r="Q2" s="2" t="s">
        <v>11</v>
      </c>
    </row>
    <row r="3" spans="1:17" ht="15.75" customHeight="1" x14ac:dyDescent="0.2">
      <c r="A3" s="1">
        <v>44975</v>
      </c>
      <c r="B3" s="2" t="s">
        <v>12</v>
      </c>
      <c r="C3" s="2" t="s">
        <v>13</v>
      </c>
      <c r="D3" s="6">
        <f>17.5</f>
        <v>17.5</v>
      </c>
      <c r="E3" s="6"/>
      <c r="F3" s="6"/>
      <c r="G3" s="6"/>
      <c r="H3" s="6">
        <f>17.5</f>
        <v>17.5</v>
      </c>
      <c r="I3" s="6">
        <v>70</v>
      </c>
      <c r="J3" s="6"/>
      <c r="K3" s="6"/>
      <c r="L3" s="6">
        <f>17.5</f>
        <v>17.5</v>
      </c>
      <c r="M3" s="6"/>
      <c r="N3" s="6">
        <f>17.5</f>
        <v>17.5</v>
      </c>
      <c r="O3" s="6"/>
      <c r="P3" s="6"/>
      <c r="Q3" s="6"/>
    </row>
    <row r="4" spans="1:17" ht="15.75" customHeight="1" x14ac:dyDescent="0.2">
      <c r="A4" s="1">
        <v>44975</v>
      </c>
      <c r="B4" s="2" t="s">
        <v>14</v>
      </c>
      <c r="C4" s="2" t="s">
        <v>15</v>
      </c>
      <c r="D4" s="6">
        <f>(87/3+3/4+4/2)*1.05*1.1</f>
        <v>36.671250000000001</v>
      </c>
      <c r="E4" s="6"/>
      <c r="F4" s="6"/>
      <c r="G4" s="6"/>
      <c r="H4" s="6">
        <f>(87/3+3/4+4/2)*1.05*1.1</f>
        <v>36.671250000000001</v>
      </c>
      <c r="I4" s="6"/>
      <c r="J4" s="6"/>
      <c r="K4" s="6"/>
      <c r="L4" s="6">
        <f>(87/3+3/4)*1.05*1.1</f>
        <v>34.361250000000005</v>
      </c>
      <c r="M4" s="6"/>
      <c r="N4" s="6">
        <f>(3/4+15)*1.05*1.1</f>
        <v>18.191250000000004</v>
      </c>
      <c r="O4" s="6">
        <v>125.9</v>
      </c>
      <c r="P4" s="6"/>
      <c r="Q4" s="6"/>
    </row>
    <row r="5" spans="1:17" ht="15.75" customHeight="1" x14ac:dyDescent="0.2">
      <c r="A5" s="1">
        <v>44981</v>
      </c>
      <c r="B5" s="2" t="s">
        <v>16</v>
      </c>
      <c r="C5" s="2" t="s">
        <v>17</v>
      </c>
      <c r="D5" s="6">
        <f>93/3</f>
        <v>31</v>
      </c>
      <c r="E5" s="6">
        <v>93</v>
      </c>
      <c r="F5" s="6"/>
      <c r="G5" s="6"/>
      <c r="H5" s="6">
        <f>93/3</f>
        <v>31</v>
      </c>
      <c r="I5" s="6"/>
      <c r="J5" s="6"/>
      <c r="K5" s="6"/>
      <c r="L5" s="6">
        <f>93/3</f>
        <v>31</v>
      </c>
      <c r="M5" s="6"/>
      <c r="N5" s="6"/>
      <c r="O5" s="6"/>
      <c r="P5" s="6"/>
      <c r="Q5" s="6"/>
    </row>
    <row r="6" spans="1:17" ht="15.75" customHeight="1" x14ac:dyDescent="0.2">
      <c r="A6" s="1">
        <v>44996</v>
      </c>
      <c r="B6" s="2" t="s">
        <v>18</v>
      </c>
      <c r="C6" s="2" t="s">
        <v>19</v>
      </c>
      <c r="D6" s="6">
        <f>(6.5+18.45)*((105-91.93)/87.55+0.05+1)</f>
        <v>29.922188749286121</v>
      </c>
      <c r="E6" s="6"/>
      <c r="F6" s="6"/>
      <c r="G6" s="6"/>
      <c r="H6" s="6">
        <f>(12.45+9.95)*((105-91.93)/87.55+0.05+1)</f>
        <v>26.864009137635634</v>
      </c>
      <c r="I6" s="6"/>
      <c r="J6" s="6">
        <f>17.45*((105-91.93)/87.55+0.05+1)</f>
        <v>20.927542832667047</v>
      </c>
      <c r="K6" s="6"/>
      <c r="L6" s="6">
        <f>(17+5.75)*((105-91.93)/87.55+0.05+1)</f>
        <v>27.283759280411193</v>
      </c>
      <c r="M6" s="6">
        <v>105</v>
      </c>
      <c r="N6" s="6"/>
      <c r="O6" s="6"/>
      <c r="P6" s="6"/>
      <c r="Q6" s="6"/>
    </row>
    <row r="7" spans="1:17" ht="15.75" customHeight="1" x14ac:dyDescent="0.2">
      <c r="A7" s="1">
        <v>45010</v>
      </c>
      <c r="B7" s="2" t="s">
        <v>20</v>
      </c>
      <c r="C7" s="2" t="s">
        <v>21</v>
      </c>
      <c r="D7" s="6">
        <v>20.69</v>
      </c>
      <c r="E7" s="6"/>
      <c r="F7" s="6">
        <v>20.69</v>
      </c>
      <c r="G7" s="6"/>
      <c r="H7" s="6">
        <v>20.69</v>
      </c>
      <c r="I7" s="6">
        <f>20.69*6</f>
        <v>124.14000000000001</v>
      </c>
      <c r="J7" s="6">
        <v>20.69</v>
      </c>
      <c r="K7" s="6"/>
      <c r="L7" s="6">
        <v>20.69</v>
      </c>
      <c r="M7" s="6"/>
      <c r="N7" s="6">
        <v>20.69</v>
      </c>
      <c r="O7" s="6"/>
      <c r="P7" s="6"/>
      <c r="Q7" s="6"/>
    </row>
    <row r="8" spans="1:17" ht="15.75" customHeight="1" x14ac:dyDescent="0.2">
      <c r="A8" s="1">
        <v>45010</v>
      </c>
      <c r="B8" s="2" t="s">
        <v>22</v>
      </c>
      <c r="C8" s="2" t="s">
        <v>23</v>
      </c>
      <c r="D8" s="6">
        <v>8</v>
      </c>
      <c r="E8" s="6"/>
      <c r="F8" s="6"/>
      <c r="G8" s="6"/>
      <c r="H8" s="6"/>
      <c r="I8" s="6">
        <v>8</v>
      </c>
      <c r="J8" s="6"/>
      <c r="K8" s="6"/>
      <c r="L8" s="6"/>
      <c r="M8" s="6"/>
      <c r="N8" s="6"/>
      <c r="O8" s="6"/>
      <c r="P8" s="6"/>
      <c r="Q8" s="6"/>
    </row>
    <row r="9" spans="1:17" ht="15.75" customHeight="1" x14ac:dyDescent="0.2">
      <c r="A9" s="1">
        <v>45010</v>
      </c>
      <c r="B9" s="2" t="s">
        <v>24</v>
      </c>
      <c r="C9" s="2" t="s">
        <v>25</v>
      </c>
      <c r="D9" s="6">
        <v>37.130000000000003</v>
      </c>
      <c r="E9" s="6"/>
      <c r="F9" s="6">
        <v>37.130000000000003</v>
      </c>
      <c r="G9" s="6"/>
      <c r="H9" s="6"/>
      <c r="I9" s="6"/>
      <c r="J9" s="6">
        <v>49.03</v>
      </c>
      <c r="K9" s="6">
        <f>164.29</f>
        <v>164.29</v>
      </c>
      <c r="L9" s="6">
        <v>40.99</v>
      </c>
      <c r="M9" s="6"/>
      <c r="N9" s="6"/>
      <c r="O9" s="6"/>
      <c r="P9" s="6"/>
      <c r="Q9" s="6"/>
    </row>
    <row r="10" spans="1:17" ht="15.75" customHeight="1" x14ac:dyDescent="0.2">
      <c r="A10" s="1">
        <v>45016</v>
      </c>
      <c r="B10" s="2" t="s">
        <v>26</v>
      </c>
      <c r="C10" s="2" t="s">
        <v>27</v>
      </c>
      <c r="D10" s="6">
        <f>14.65/66.8*10+14.65</f>
        <v>16.843113772455091</v>
      </c>
      <c r="E10" s="6">
        <v>76.8</v>
      </c>
      <c r="F10" s="6"/>
      <c r="G10" s="6"/>
      <c r="H10" s="6">
        <f>(14.65+8.95)/66.8*10+(14.65+8.95)</f>
        <v>27.13293413173653</v>
      </c>
      <c r="I10" s="6"/>
      <c r="J10" s="6">
        <f>14.95/66.8*10+14.95</f>
        <v>17.188023952095808</v>
      </c>
      <c r="K10" s="6"/>
      <c r="L10" s="6">
        <f>13.6/66.8*10+13.6</f>
        <v>15.635928143712574</v>
      </c>
      <c r="M10" s="6"/>
      <c r="N10" s="6"/>
      <c r="O10" s="6"/>
      <c r="P10" s="6"/>
      <c r="Q10" s="6"/>
    </row>
    <row r="11" spans="1:17" ht="15.75" customHeight="1" x14ac:dyDescent="0.2">
      <c r="A11" s="1">
        <v>45016</v>
      </c>
      <c r="B11" s="2" t="s">
        <v>28</v>
      </c>
      <c r="C11" s="2" t="s">
        <v>23</v>
      </c>
      <c r="D11" s="6">
        <f>55.12/5</f>
        <v>11.023999999999999</v>
      </c>
      <c r="E11" s="6"/>
      <c r="F11" s="6"/>
      <c r="G11" s="6"/>
      <c r="H11" s="6">
        <f>55.12/5</f>
        <v>11.023999999999999</v>
      </c>
      <c r="I11" s="6"/>
      <c r="J11" s="6">
        <f>55.12/5</f>
        <v>11.023999999999999</v>
      </c>
      <c r="K11" s="6">
        <v>55.12</v>
      </c>
      <c r="L11" s="6">
        <f>55.12/5</f>
        <v>11.023999999999999</v>
      </c>
      <c r="M11" s="6"/>
      <c r="N11" s="6"/>
      <c r="O11" s="6"/>
      <c r="P11" s="6">
        <f>55.12/5</f>
        <v>11.023999999999999</v>
      </c>
      <c r="Q11" s="6"/>
    </row>
    <row r="12" spans="1:17" ht="15.75" customHeight="1" x14ac:dyDescent="0.2">
      <c r="A12" s="1">
        <v>45052</v>
      </c>
      <c r="B12" s="2" t="s">
        <v>29</v>
      </c>
      <c r="C12" s="2" t="s">
        <v>30</v>
      </c>
      <c r="D12" s="6">
        <f>126.85/5</f>
        <v>25.369999999999997</v>
      </c>
      <c r="E12" s="6">
        <v>20</v>
      </c>
      <c r="F12" s="6"/>
      <c r="G12" s="6"/>
      <c r="H12" s="6">
        <f>126.85/5</f>
        <v>25.369999999999997</v>
      </c>
      <c r="I12" s="6"/>
      <c r="J12" s="6">
        <f>126.85/5</f>
        <v>25.369999999999997</v>
      </c>
      <c r="K12" s="6"/>
      <c r="L12" s="6">
        <f>126.85/5</f>
        <v>25.369999999999997</v>
      </c>
      <c r="M12" s="6"/>
      <c r="N12" s="6">
        <f>126.85/5</f>
        <v>25.369999999999997</v>
      </c>
      <c r="O12" s="6">
        <v>106.85</v>
      </c>
      <c r="P12" s="6"/>
      <c r="Q12" s="6"/>
    </row>
    <row r="13" spans="1:17" ht="15.75" customHeight="1" x14ac:dyDescent="0.2">
      <c r="A13" s="1">
        <v>45052</v>
      </c>
      <c r="B13" s="2" t="s">
        <v>31</v>
      </c>
      <c r="C13" s="2" t="s">
        <v>30</v>
      </c>
      <c r="D13" s="6">
        <f>5.4/5</f>
        <v>1.08</v>
      </c>
      <c r="E13" s="6"/>
      <c r="F13" s="6"/>
      <c r="G13" s="6"/>
      <c r="H13" s="6">
        <f>5.4/5</f>
        <v>1.08</v>
      </c>
      <c r="I13" s="6"/>
      <c r="J13" s="6">
        <f>5.4/5</f>
        <v>1.08</v>
      </c>
      <c r="K13" s="6"/>
      <c r="L13" s="6">
        <f>5.4/5</f>
        <v>1.08</v>
      </c>
      <c r="M13" s="6">
        <v>5.4</v>
      </c>
      <c r="N13" s="6">
        <f>5.4/5</f>
        <v>1.08</v>
      </c>
      <c r="O13" s="6"/>
      <c r="P13" s="6"/>
      <c r="Q13" s="6"/>
    </row>
    <row r="14" spans="1:17" ht="15.75" customHeight="1" x14ac:dyDescent="0.2">
      <c r="A14" s="1">
        <v>45052</v>
      </c>
      <c r="B14" s="2" t="s">
        <v>32</v>
      </c>
      <c r="C14" s="2" t="s">
        <v>30</v>
      </c>
      <c r="D14" s="6">
        <f>38.3/5</f>
        <v>7.6599999999999993</v>
      </c>
      <c r="E14" s="6"/>
      <c r="F14" s="6"/>
      <c r="G14" s="6"/>
      <c r="H14" s="6">
        <f>38.3/5</f>
        <v>7.6599999999999993</v>
      </c>
      <c r="I14" s="6"/>
      <c r="J14" s="6">
        <f>38.3/5</f>
        <v>7.6599999999999993</v>
      </c>
      <c r="K14" s="6">
        <v>38.299999999999997</v>
      </c>
      <c r="L14" s="6">
        <f>38.3/5</f>
        <v>7.6599999999999993</v>
      </c>
      <c r="M14" s="6"/>
      <c r="N14" s="6">
        <f>38.3/5</f>
        <v>7.6599999999999993</v>
      </c>
      <c r="O14" s="6"/>
      <c r="P14" s="6"/>
      <c r="Q14" s="6"/>
    </row>
    <row r="15" spans="1:17" ht="15.75" customHeight="1" x14ac:dyDescent="0.2">
      <c r="A15" s="1">
        <v>45052</v>
      </c>
      <c r="B15" s="2" t="s">
        <v>33</v>
      </c>
      <c r="C15" s="2" t="s">
        <v>34</v>
      </c>
      <c r="D15" s="6"/>
      <c r="E15" s="6">
        <v>13.7</v>
      </c>
      <c r="F15" s="6"/>
      <c r="G15" s="6"/>
      <c r="H15" s="6">
        <v>32.549999999999997</v>
      </c>
      <c r="I15" s="6"/>
      <c r="J15" s="6"/>
      <c r="K15" s="6">
        <v>37.75</v>
      </c>
      <c r="L15" s="6">
        <v>13.3</v>
      </c>
      <c r="M15" s="6"/>
      <c r="N15" s="6">
        <v>5.6</v>
      </c>
      <c r="O15" s="6"/>
      <c r="P15" s="6"/>
      <c r="Q15" s="6"/>
    </row>
    <row r="16" spans="1:17" ht="15.75" customHeight="1" x14ac:dyDescent="0.2">
      <c r="A16" s="1">
        <v>45056</v>
      </c>
      <c r="B16" s="2" t="s">
        <v>35</v>
      </c>
      <c r="C16" s="2" t="s">
        <v>36</v>
      </c>
      <c r="D16" s="6"/>
      <c r="E16" s="6">
        <v>0.28000000000000003</v>
      </c>
      <c r="F16" s="6"/>
      <c r="G16" s="6"/>
      <c r="H16" s="6"/>
      <c r="I16" s="6"/>
      <c r="J16" s="6"/>
      <c r="K16" s="6">
        <v>19.72</v>
      </c>
      <c r="L16" s="6">
        <v>10</v>
      </c>
      <c r="M16" s="6"/>
      <c r="N16" s="6">
        <v>10</v>
      </c>
      <c r="O16" s="6"/>
      <c r="P16" s="6"/>
      <c r="Q16" s="6"/>
    </row>
    <row r="17" spans="1:17" ht="15.75" customHeight="1" x14ac:dyDescent="0.2">
      <c r="A17" s="1">
        <v>45065</v>
      </c>
      <c r="B17" s="2" t="s">
        <v>37</v>
      </c>
      <c r="C17" s="2" t="s">
        <v>38</v>
      </c>
      <c r="D17" s="6">
        <f>(80.14-(4.39*1.12))/5</f>
        <v>15.044640000000001</v>
      </c>
      <c r="E17" s="6"/>
      <c r="F17" s="6">
        <f>(80.14-(4.39*1.12))/5</f>
        <v>15.044640000000001</v>
      </c>
      <c r="G17" s="6"/>
      <c r="H17" s="6">
        <f>(80.14-(4.39*1.12))/5</f>
        <v>15.044640000000001</v>
      </c>
      <c r="I17" s="6">
        <v>80.14</v>
      </c>
      <c r="J17" s="6"/>
      <c r="K17" s="6"/>
      <c r="L17" s="6">
        <f>(80.14-(4.39*1.12))/5</f>
        <v>15.044640000000001</v>
      </c>
      <c r="M17" s="6"/>
      <c r="N17" s="6">
        <f>(80.14-(4.39*1.12))/5+(4.39*1.12)</f>
        <v>19.961440000000003</v>
      </c>
      <c r="O17" s="6"/>
      <c r="P17" s="6"/>
      <c r="Q17" s="6"/>
    </row>
    <row r="18" spans="1:17" ht="15.75" customHeight="1" x14ac:dyDescent="0.2">
      <c r="A18" s="1">
        <v>45065</v>
      </c>
      <c r="B18" s="2" t="s">
        <v>39</v>
      </c>
      <c r="C18" s="2" t="s">
        <v>40</v>
      </c>
      <c r="D18" s="6">
        <v>1</v>
      </c>
      <c r="E18" s="6">
        <v>5</v>
      </c>
      <c r="F18" s="6">
        <v>1</v>
      </c>
      <c r="G18" s="6"/>
      <c r="H18" s="6">
        <v>1</v>
      </c>
      <c r="I18" s="6"/>
      <c r="J18" s="6"/>
      <c r="K18" s="6"/>
      <c r="L18" s="6">
        <v>1</v>
      </c>
      <c r="M18" s="6"/>
      <c r="N18" s="6">
        <v>1</v>
      </c>
      <c r="O18" s="6"/>
      <c r="P18" s="6"/>
      <c r="Q18" s="6"/>
    </row>
    <row r="19" spans="1:17" ht="15.75" customHeight="1" x14ac:dyDescent="0.2">
      <c r="A19" s="1">
        <v>45065</v>
      </c>
      <c r="B19" s="2" t="s">
        <v>41</v>
      </c>
      <c r="C19" s="2" t="s">
        <v>42</v>
      </c>
      <c r="D19" s="6">
        <f>30/5</f>
        <v>6</v>
      </c>
      <c r="E19" s="6"/>
      <c r="F19" s="6">
        <f>30/5</f>
        <v>6</v>
      </c>
      <c r="G19" s="6"/>
      <c r="H19" s="6">
        <f>30/5</f>
        <v>6</v>
      </c>
      <c r="I19" s="6">
        <v>30</v>
      </c>
      <c r="J19" s="6"/>
      <c r="K19" s="6"/>
      <c r="L19" s="6">
        <f>30/5</f>
        <v>6</v>
      </c>
      <c r="M19" s="6"/>
      <c r="N19" s="6">
        <f>30/5</f>
        <v>6</v>
      </c>
      <c r="O19" s="6"/>
      <c r="P19" s="6"/>
      <c r="Q19" s="6"/>
    </row>
    <row r="20" spans="1:17" ht="15.75" customHeight="1" x14ac:dyDescent="0.2">
      <c r="A20" s="1">
        <v>45079</v>
      </c>
      <c r="B20" s="2" t="s">
        <v>43</v>
      </c>
      <c r="C20" s="2" t="s">
        <v>44</v>
      </c>
      <c r="D20" s="6"/>
      <c r="E20" s="6"/>
      <c r="F20" s="6"/>
      <c r="G20" s="6"/>
      <c r="H20" s="6"/>
      <c r="I20" s="6">
        <f t="shared" ref="I20:J20" si="0">26.96</f>
        <v>26.96</v>
      </c>
      <c r="J20" s="6">
        <f t="shared" si="0"/>
        <v>26.96</v>
      </c>
      <c r="K20" s="6"/>
      <c r="L20" s="6"/>
      <c r="M20" s="6"/>
      <c r="N20" s="6"/>
      <c r="O20" s="6"/>
      <c r="P20" s="6"/>
      <c r="Q20" s="6"/>
    </row>
    <row r="21" spans="1:17" ht="15.75" customHeight="1" x14ac:dyDescent="0.2">
      <c r="A21" s="1">
        <v>45079</v>
      </c>
      <c r="B21" s="2" t="s">
        <v>45</v>
      </c>
      <c r="C21" s="2" t="s">
        <v>23</v>
      </c>
      <c r="D21" s="6"/>
      <c r="E21" s="6"/>
      <c r="F21" s="6"/>
      <c r="G21" s="6"/>
      <c r="H21" s="6">
        <f>8+1.5</f>
        <v>9.5</v>
      </c>
      <c r="I21" s="6"/>
      <c r="J21" s="6"/>
      <c r="K21" s="6">
        <f>8+1.5</f>
        <v>9.5</v>
      </c>
      <c r="L21" s="6"/>
      <c r="M21" s="6"/>
      <c r="N21" s="6"/>
      <c r="O21" s="6"/>
      <c r="P21" s="6"/>
      <c r="Q21" s="6"/>
    </row>
    <row r="22" spans="1:17" ht="15.75" customHeight="1" x14ac:dyDescent="0.2">
      <c r="A22" s="1">
        <v>45096</v>
      </c>
      <c r="B22" s="2" t="s">
        <v>46</v>
      </c>
      <c r="C22" s="2" t="s">
        <v>47</v>
      </c>
      <c r="D22" s="6">
        <v>22.61</v>
      </c>
      <c r="E22" s="6"/>
      <c r="F22" s="6">
        <v>26.33</v>
      </c>
      <c r="G22" s="6"/>
      <c r="H22" s="6"/>
      <c r="I22" s="6"/>
      <c r="J22" s="6">
        <v>22.61</v>
      </c>
      <c r="K22" s="6">
        <v>71.55</v>
      </c>
      <c r="L22" s="6"/>
      <c r="M22" s="6"/>
      <c r="N22" s="6"/>
      <c r="O22" s="6"/>
      <c r="P22" s="6"/>
      <c r="Q22" s="6"/>
    </row>
    <row r="23" spans="1:17" ht="15.75" customHeight="1" x14ac:dyDescent="0.2">
      <c r="A23" s="1">
        <v>45101</v>
      </c>
      <c r="B23" s="2" t="s">
        <v>48</v>
      </c>
      <c r="C23" s="2" t="s">
        <v>49</v>
      </c>
      <c r="D23" s="6">
        <f>71.36/6</f>
        <v>11.893333333333333</v>
      </c>
      <c r="E23" s="6"/>
      <c r="F23" s="6"/>
      <c r="G23" s="6"/>
      <c r="H23" s="6">
        <f>71.36/6</f>
        <v>11.893333333333333</v>
      </c>
      <c r="I23" s="6"/>
      <c r="J23" s="6">
        <f>71.36/6</f>
        <v>11.893333333333333</v>
      </c>
      <c r="K23" s="6"/>
      <c r="L23" s="6">
        <f>71.36/6</f>
        <v>11.893333333333333</v>
      </c>
      <c r="M23" s="6">
        <v>71.36</v>
      </c>
      <c r="N23" s="6">
        <f>71.36/6</f>
        <v>11.893333333333333</v>
      </c>
      <c r="O23" s="6"/>
      <c r="P23" s="6">
        <f>71.36/6</f>
        <v>11.893333333333333</v>
      </c>
      <c r="Q23" s="6"/>
    </row>
    <row r="24" spans="1:17" ht="15.75" customHeight="1" x14ac:dyDescent="0.2">
      <c r="A24" s="1">
        <v>45101</v>
      </c>
      <c r="B24" s="2" t="s">
        <v>50</v>
      </c>
      <c r="C24" s="2" t="s">
        <v>51</v>
      </c>
      <c r="D24" s="6">
        <f>18.29/6</f>
        <v>3.0483333333333333</v>
      </c>
      <c r="E24" s="6"/>
      <c r="F24" s="6"/>
      <c r="G24" s="6"/>
      <c r="H24" s="6">
        <f>18.29/6</f>
        <v>3.0483333333333333</v>
      </c>
      <c r="I24" s="6">
        <v>2.5</v>
      </c>
      <c r="J24" s="6">
        <f>18.29/6</f>
        <v>3.0483333333333333</v>
      </c>
      <c r="K24" s="6"/>
      <c r="L24" s="6">
        <f>18.29/6</f>
        <v>3.0483333333333333</v>
      </c>
      <c r="M24" s="6">
        <v>15.79</v>
      </c>
      <c r="N24" s="6">
        <f>18.29/6</f>
        <v>3.0483333333333333</v>
      </c>
      <c r="O24" s="6"/>
      <c r="P24" s="6">
        <f>18.29/6</f>
        <v>3.0483333333333333</v>
      </c>
      <c r="Q24" s="6"/>
    </row>
    <row r="25" spans="1:17" ht="15.75" customHeight="1" x14ac:dyDescent="0.2">
      <c r="A25" s="1">
        <v>45101</v>
      </c>
      <c r="B25" s="2" t="s">
        <v>52</v>
      </c>
      <c r="C25" s="2" t="s">
        <v>53</v>
      </c>
      <c r="D25" s="6"/>
      <c r="E25" s="6"/>
      <c r="F25" s="6"/>
      <c r="G25" s="6"/>
      <c r="H25" s="6"/>
      <c r="I25" s="6"/>
      <c r="J25" s="6"/>
      <c r="K25" s="6"/>
      <c r="L25" s="6">
        <f>(19.44)+(0.25/2)+((4.16+2.13+5-18.9)*(19.44/37.8))</f>
        <v>15.651285714285716</v>
      </c>
      <c r="M25" s="6"/>
      <c r="N25" s="6">
        <f>(8.64+6.48+3.24)+(0.25/2)+((4.16+2.13+5-18.9)*(18.36/37.8))</f>
        <v>14.788714285714285</v>
      </c>
      <c r="O25" s="6">
        <v>30.44</v>
      </c>
      <c r="P25" s="6"/>
      <c r="Q25" s="6"/>
    </row>
    <row r="26" spans="1:17" ht="15.75" customHeight="1" x14ac:dyDescent="0.2">
      <c r="A26" s="1">
        <v>45101</v>
      </c>
      <c r="B26" s="2" t="s">
        <v>54</v>
      </c>
      <c r="C26" s="2" t="s">
        <v>23</v>
      </c>
      <c r="D26" s="6">
        <f>40.33/2</f>
        <v>20.164999999999999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>
        <f>40.33</f>
        <v>40.33</v>
      </c>
      <c r="P26" s="6">
        <f>40.33/2</f>
        <v>20.164999999999999</v>
      </c>
      <c r="Q26" s="6"/>
    </row>
    <row r="27" spans="1:17" ht="15.75" customHeight="1" x14ac:dyDescent="0.2">
      <c r="A27" s="1">
        <v>45101</v>
      </c>
      <c r="B27" s="2" t="s">
        <v>54</v>
      </c>
      <c r="C27" s="2" t="s">
        <v>55</v>
      </c>
      <c r="D27" s="6"/>
      <c r="E27" s="6"/>
      <c r="F27" s="6"/>
      <c r="G27" s="6"/>
      <c r="H27" s="6">
        <v>27.281382488479263</v>
      </c>
      <c r="I27" s="6"/>
      <c r="J27" s="6">
        <v>22.888617511520739</v>
      </c>
      <c r="K27" s="6">
        <v>50.17</v>
      </c>
      <c r="L27" s="6"/>
      <c r="M27" s="6"/>
      <c r="N27" s="6"/>
      <c r="O27" s="6"/>
      <c r="P27" s="6"/>
      <c r="Q27" s="6"/>
    </row>
    <row r="28" spans="1:17" ht="15.75" customHeight="1" x14ac:dyDescent="0.2">
      <c r="A28" s="1">
        <v>45108</v>
      </c>
      <c r="B28" s="2" t="s">
        <v>16</v>
      </c>
      <c r="C28" s="2" t="s">
        <v>56</v>
      </c>
      <c r="D28" s="6">
        <f>20*((101.5-4.2)/84+0.05)</f>
        <v>24.166666666666664</v>
      </c>
      <c r="E28" s="6">
        <v>101.5</v>
      </c>
      <c r="F28" s="6"/>
      <c r="G28" s="6"/>
      <c r="H28" s="6">
        <f>(20+4)*((101.5-4.2)/84+0.05)</f>
        <v>29</v>
      </c>
      <c r="I28" s="6"/>
      <c r="J28" s="6"/>
      <c r="K28" s="6"/>
      <c r="L28" s="6">
        <f>20*((101.5-4.2)/84+0.05)</f>
        <v>24.166666666666664</v>
      </c>
      <c r="M28" s="6"/>
      <c r="N28" s="6">
        <f>20*((101.5-4.2)/84+0.05)</f>
        <v>24.166666666666664</v>
      </c>
      <c r="O28" s="6"/>
      <c r="P28" s="6"/>
      <c r="Q28" s="6"/>
    </row>
    <row r="29" spans="1:17" ht="15.75" customHeight="1" x14ac:dyDescent="0.2">
      <c r="A29" s="1">
        <v>45116</v>
      </c>
      <c r="B29" s="2" t="s">
        <v>57</v>
      </c>
      <c r="C29" s="2" t="s">
        <v>58</v>
      </c>
      <c r="D29" s="6">
        <f>16.2*1.05*1.15</f>
        <v>19.561499999999999</v>
      </c>
      <c r="E29" s="6"/>
      <c r="F29" s="6"/>
      <c r="G29" s="6"/>
      <c r="H29" s="6">
        <f>20*1.05*1.15</f>
        <v>24.15</v>
      </c>
      <c r="I29" s="6"/>
      <c r="J29" s="6">
        <f>26*1.05*1.15</f>
        <v>31.395</v>
      </c>
      <c r="K29" s="6"/>
      <c r="L29" s="6">
        <f>16.2*1.05*1.15</f>
        <v>19.561499999999999</v>
      </c>
      <c r="M29" s="6">
        <v>115.8</v>
      </c>
      <c r="N29" s="6">
        <f>17.5*1.05*1.15</f>
        <v>21.131249999999998</v>
      </c>
      <c r="O29" s="6"/>
      <c r="P29" s="6"/>
      <c r="Q29" s="6"/>
    </row>
    <row r="30" spans="1:17" ht="15.75" customHeight="1" x14ac:dyDescent="0.2">
      <c r="A30" s="1">
        <v>45116</v>
      </c>
      <c r="B30" s="2" t="s">
        <v>59</v>
      </c>
      <c r="C30" s="2" t="s">
        <v>23</v>
      </c>
      <c r="D30" s="6">
        <f>26*1.12/4</f>
        <v>7.2800000000000011</v>
      </c>
      <c r="E30" s="6"/>
      <c r="F30" s="6"/>
      <c r="G30" s="6"/>
      <c r="H30" s="6">
        <f>26*1.12/4</f>
        <v>7.2800000000000011</v>
      </c>
      <c r="I30" s="6">
        <f>26*1.12</f>
        <v>29.120000000000005</v>
      </c>
      <c r="J30" s="6"/>
      <c r="K30" s="6"/>
      <c r="L30" s="6">
        <f>26*1.12/4</f>
        <v>7.2800000000000011</v>
      </c>
      <c r="M30" s="6"/>
      <c r="N30" s="6">
        <f>26*1.12/4</f>
        <v>7.2800000000000011</v>
      </c>
      <c r="O30" s="6"/>
      <c r="P30" s="6"/>
      <c r="Q30" s="6"/>
    </row>
    <row r="31" spans="1:17" ht="15.75" customHeight="1" x14ac:dyDescent="0.2">
      <c r="A31" s="1">
        <v>45116</v>
      </c>
      <c r="B31" s="2" t="s">
        <v>60</v>
      </c>
      <c r="C31" s="2" t="s">
        <v>61</v>
      </c>
      <c r="D31" s="6">
        <v>6</v>
      </c>
      <c r="E31" s="6"/>
      <c r="F31" s="6"/>
      <c r="G31" s="6"/>
      <c r="H31" s="6"/>
      <c r="I31" s="6"/>
      <c r="J31" s="6"/>
      <c r="K31" s="6">
        <v>6</v>
      </c>
      <c r="L31" s="6"/>
      <c r="M31" s="6"/>
      <c r="N31" s="6"/>
      <c r="O31" s="6"/>
      <c r="P31" s="6"/>
      <c r="Q31" s="6"/>
    </row>
    <row r="32" spans="1:17" ht="15.75" customHeight="1" x14ac:dyDescent="0.2">
      <c r="A32" s="1">
        <v>45119</v>
      </c>
      <c r="B32" s="2" t="s">
        <v>62</v>
      </c>
      <c r="C32" s="2" t="s">
        <v>63</v>
      </c>
      <c r="D32" s="6"/>
      <c r="E32" s="6">
        <v>66.08</v>
      </c>
      <c r="F32" s="6"/>
      <c r="G32" s="6"/>
      <c r="H32" s="6"/>
      <c r="I32" s="6"/>
      <c r="J32" s="6"/>
      <c r="K32" s="6"/>
      <c r="L32" s="6">
        <v>66.08</v>
      </c>
      <c r="M32" s="6"/>
      <c r="N32" s="6"/>
      <c r="O32" s="6"/>
      <c r="P32" s="6"/>
      <c r="Q32" s="6"/>
    </row>
    <row r="33" spans="1:17" ht="15.75" customHeight="1" x14ac:dyDescent="0.2">
      <c r="A33" s="1">
        <v>45127</v>
      </c>
      <c r="B33" s="2" t="s">
        <v>64</v>
      </c>
      <c r="C33" s="2" t="s">
        <v>65</v>
      </c>
      <c r="D33" s="6">
        <f>142.33/7</f>
        <v>20.332857142857144</v>
      </c>
      <c r="E33" s="6">
        <v>142.33000000000001</v>
      </c>
      <c r="F33" s="6">
        <v>20.329999999999998</v>
      </c>
      <c r="G33" s="6"/>
      <c r="H33" s="6">
        <v>20.329999999999998</v>
      </c>
      <c r="I33" s="6"/>
      <c r="J33" s="6">
        <v>20.329999999999998</v>
      </c>
      <c r="K33" s="6"/>
      <c r="L33" s="6">
        <v>20.329999999999998</v>
      </c>
      <c r="M33" s="6"/>
      <c r="N33" s="6">
        <v>20.329999999999998</v>
      </c>
      <c r="O33" s="6"/>
      <c r="P33" s="6">
        <v>20.329999999999998</v>
      </c>
      <c r="Q33" s="6"/>
    </row>
    <row r="34" spans="1:17" ht="15.75" customHeight="1" x14ac:dyDescent="0.2">
      <c r="A34" s="1">
        <v>45129</v>
      </c>
      <c r="B34" s="2" t="s">
        <v>66</v>
      </c>
      <c r="C34" s="2" t="s">
        <v>23</v>
      </c>
      <c r="D34" s="6">
        <f>18.25*(1.05)+4*(18.25/(18.25+16.45))-1.83+((28.55*1.05-2.86)/6)</f>
        <v>23.955829731027858</v>
      </c>
      <c r="E34" s="6"/>
      <c r="F34" s="6">
        <f>((28.55*1.05-2.86)/6)</f>
        <v>4.5195833333333342</v>
      </c>
      <c r="G34" s="6">
        <f>(28.55*1.05-2.86)</f>
        <v>27.117500000000003</v>
      </c>
      <c r="H34" s="6">
        <f>((28.55*1.05-2.86)/6)</f>
        <v>4.5195833333333342</v>
      </c>
      <c r="I34" s="6"/>
      <c r="J34" s="6">
        <f>((28.55*1.05-2.86)/6)</f>
        <v>4.5195833333333342</v>
      </c>
      <c r="K34" s="6"/>
      <c r="L34" s="6"/>
      <c r="M34" s="6">
        <f>18.25*(1.05)+4*(18.25/(18.25+16.45))-1.83</f>
        <v>19.436246397694525</v>
      </c>
      <c r="N34" s="6">
        <f>((28.55*1.05-2.86)/6)</f>
        <v>4.5195833333333342</v>
      </c>
      <c r="O34" s="6"/>
      <c r="P34" s="6">
        <f>((28.55*1.05-2.86)/6)</f>
        <v>4.5195833333333342</v>
      </c>
      <c r="Q34" s="6"/>
    </row>
    <row r="35" spans="1:17" ht="15.75" customHeight="1" x14ac:dyDescent="0.2">
      <c r="A35" s="1">
        <v>45129</v>
      </c>
      <c r="B35" s="2" t="s">
        <v>67</v>
      </c>
      <c r="C35" s="2" t="s">
        <v>68</v>
      </c>
      <c r="D35" s="6"/>
      <c r="E35" s="6">
        <v>9</v>
      </c>
      <c r="F35" s="6"/>
      <c r="G35" s="6"/>
      <c r="H35" s="6">
        <v>3</v>
      </c>
      <c r="I35" s="6"/>
      <c r="J35" s="6"/>
      <c r="K35" s="6"/>
      <c r="L35" s="6">
        <v>3</v>
      </c>
      <c r="M35" s="6"/>
      <c r="N35" s="6">
        <v>3</v>
      </c>
      <c r="O35" s="6"/>
      <c r="P35" s="6"/>
      <c r="Q35" s="6"/>
    </row>
    <row r="36" spans="1:17" ht="15.75" customHeight="1" x14ac:dyDescent="0.2">
      <c r="A36" s="1">
        <v>45129</v>
      </c>
      <c r="B36" s="2" t="s">
        <v>69</v>
      </c>
      <c r="C36" s="2" t="s">
        <v>23</v>
      </c>
      <c r="D36" s="6">
        <f>20.33 +25.33</f>
        <v>45.66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>
        <v>20.329999999999998</v>
      </c>
      <c r="P36" s="6"/>
      <c r="Q36" s="6">
        <v>25.33</v>
      </c>
    </row>
    <row r="37" spans="1:17" ht="15.75" customHeight="1" x14ac:dyDescent="0.2">
      <c r="A37" s="1">
        <v>45129</v>
      </c>
      <c r="B37" s="2" t="s">
        <v>33</v>
      </c>
      <c r="C37" s="2" t="s">
        <v>70</v>
      </c>
      <c r="D37" s="6">
        <v>5</v>
      </c>
      <c r="E37" s="6">
        <v>22.65</v>
      </c>
      <c r="F37" s="6">
        <v>5</v>
      </c>
      <c r="G37" s="6">
        <v>0</v>
      </c>
      <c r="H37" s="6"/>
      <c r="I37" s="6"/>
      <c r="J37" s="6">
        <v>10</v>
      </c>
      <c r="K37" s="6">
        <f>18.9-1.75</f>
        <v>17.149999999999999</v>
      </c>
      <c r="L37" s="6">
        <v>5</v>
      </c>
      <c r="M37" s="6">
        <v>1.65</v>
      </c>
      <c r="N37" s="6">
        <v>10</v>
      </c>
      <c r="O37" s="6">
        <v>3.55</v>
      </c>
      <c r="P37" s="6">
        <v>10</v>
      </c>
      <c r="Q37" s="6">
        <v>0</v>
      </c>
    </row>
    <row r="38" spans="1:17" ht="15.75" customHeight="1" x14ac:dyDescent="0.2">
      <c r="A38" s="1">
        <v>45129</v>
      </c>
      <c r="B38" s="2" t="s">
        <v>71</v>
      </c>
      <c r="C38" s="2" t="s">
        <v>72</v>
      </c>
      <c r="D38" s="6">
        <f>7/5</f>
        <v>1.4</v>
      </c>
      <c r="E38" s="6"/>
      <c r="F38" s="6">
        <f>7/5</f>
        <v>1.4</v>
      </c>
      <c r="G38" s="6"/>
      <c r="H38" s="6">
        <f>7/5</f>
        <v>1.4</v>
      </c>
      <c r="I38" s="6">
        <v>7</v>
      </c>
      <c r="J38" s="6"/>
      <c r="K38" s="6"/>
      <c r="L38" s="6">
        <f>7/5</f>
        <v>1.4</v>
      </c>
      <c r="M38" s="6"/>
      <c r="N38" s="6">
        <f>7/5</f>
        <v>1.4</v>
      </c>
      <c r="O38" s="6"/>
      <c r="P38" s="6"/>
      <c r="Q38" s="6"/>
    </row>
    <row r="39" spans="1:17" ht="15.75" customHeight="1" x14ac:dyDescent="0.2">
      <c r="A39" s="1">
        <v>45151</v>
      </c>
      <c r="B39" s="2" t="s">
        <v>73</v>
      </c>
      <c r="C39" s="2" t="s">
        <v>74</v>
      </c>
      <c r="D39" s="6">
        <f>70/3</f>
        <v>23.333333333333332</v>
      </c>
      <c r="E39" s="6"/>
      <c r="F39" s="6"/>
      <c r="G39" s="6"/>
      <c r="H39" s="6"/>
      <c r="I39" s="6"/>
      <c r="J39" s="6">
        <f>70/3</f>
        <v>23.333333333333332</v>
      </c>
      <c r="K39" s="6">
        <v>60</v>
      </c>
      <c r="L39" s="6">
        <f>70/3</f>
        <v>23.333333333333332</v>
      </c>
      <c r="M39" s="6">
        <v>10</v>
      </c>
      <c r="N39" s="6"/>
      <c r="O39" s="6"/>
      <c r="P39" s="6"/>
      <c r="Q39" s="6"/>
    </row>
    <row r="40" spans="1:17" ht="15.75" customHeight="1" x14ac:dyDescent="0.2">
      <c r="A40" s="1">
        <v>45163</v>
      </c>
      <c r="B40" s="2" t="s">
        <v>75</v>
      </c>
      <c r="C40" s="2" t="s">
        <v>76</v>
      </c>
      <c r="D40" s="6">
        <f>17.25*(1+0.05+11.1/70.45)</f>
        <v>20.830385024840314</v>
      </c>
      <c r="E40" s="6"/>
      <c r="F40" s="6"/>
      <c r="G40" s="6"/>
      <c r="H40" s="6">
        <f>(24.95+3+4)*(1+0.05+11.1/70.45)</f>
        <v>38.581495741660753</v>
      </c>
      <c r="I40" s="6">
        <v>85.07</v>
      </c>
      <c r="J40" s="6"/>
      <c r="K40" s="6"/>
      <c r="L40" s="6">
        <f>(17.75+3.5)*(1+0.05+11.1/70.45)</f>
        <v>25.660619233498938</v>
      </c>
      <c r="M40" s="6"/>
      <c r="N40" s="6"/>
      <c r="O40" s="6"/>
      <c r="P40" s="6"/>
      <c r="Q40" s="6"/>
    </row>
    <row r="41" spans="1:17" ht="15.75" customHeight="1" x14ac:dyDescent="0.2">
      <c r="A41" s="1">
        <v>45172</v>
      </c>
      <c r="B41" s="2" t="s">
        <v>18</v>
      </c>
      <c r="C41" s="2" t="s">
        <v>77</v>
      </c>
      <c r="D41" s="6">
        <f>(9.45+19.45+0.5)*(1+0.05+11.62/94.65)</f>
        <v>34.47938193343898</v>
      </c>
      <c r="E41" s="6">
        <v>40</v>
      </c>
      <c r="F41" s="6"/>
      <c r="G41" s="6"/>
      <c r="H41" s="6">
        <f>(24.75+0.5)*(1+0.05+11.62/94.65)</f>
        <v>29.612394347596407</v>
      </c>
      <c r="I41" s="6">
        <v>71</v>
      </c>
      <c r="J41" s="6"/>
      <c r="K41" s="6"/>
      <c r="L41" s="6">
        <f>19*(1+0.05+11.62/94.65)</f>
        <v>22.282593766508185</v>
      </c>
      <c r="M41" s="6"/>
      <c r="N41" s="6">
        <f>(20.5+0.5)*(1+0.05+11.62/94.65)</f>
        <v>24.628129952456419</v>
      </c>
      <c r="O41" s="6"/>
      <c r="P41" s="6"/>
      <c r="Q41" s="6"/>
    </row>
    <row r="42" spans="1:17" ht="15.75" customHeight="1" x14ac:dyDescent="0.2">
      <c r="A42" s="1">
        <v>45185</v>
      </c>
      <c r="B42" s="2" t="s">
        <v>78</v>
      </c>
      <c r="C42" s="2" t="s">
        <v>79</v>
      </c>
      <c r="D42" s="6">
        <f>28/4</f>
        <v>7</v>
      </c>
      <c r="E42" s="6"/>
      <c r="F42" s="6"/>
      <c r="G42" s="6"/>
      <c r="H42" s="6"/>
      <c r="I42" s="6">
        <v>28</v>
      </c>
      <c r="J42" s="6">
        <f>28/4</f>
        <v>7</v>
      </c>
      <c r="K42" s="6"/>
      <c r="L42" s="6">
        <f>28/4</f>
        <v>7</v>
      </c>
      <c r="M42" s="6"/>
      <c r="N42" s="6">
        <f>28/4</f>
        <v>7</v>
      </c>
      <c r="O42" s="6"/>
      <c r="P42" s="6"/>
      <c r="Q42" s="6"/>
    </row>
    <row r="43" spans="1:17" ht="15.75" customHeight="1" x14ac:dyDescent="0.2">
      <c r="A43" s="1">
        <v>45185</v>
      </c>
      <c r="B43" s="2" t="s">
        <v>80</v>
      </c>
      <c r="C43" s="2" t="s">
        <v>81</v>
      </c>
      <c r="D43" s="6">
        <f>19.49*1.05*1.2</f>
        <v>24.557399999999998</v>
      </c>
      <c r="E43" s="6"/>
      <c r="F43" s="6"/>
      <c r="G43" s="6"/>
      <c r="H43" s="6">
        <f>(16.49+2)*1.05*1.2</f>
        <v>23.2974</v>
      </c>
      <c r="I43" s="6"/>
      <c r="J43" s="6">
        <f>16.49*1.05*1.2</f>
        <v>20.777399999999997</v>
      </c>
      <c r="K43" s="6"/>
      <c r="L43" s="6">
        <f>18.49*1.05*1.2</f>
        <v>23.2974</v>
      </c>
      <c r="M43" s="6">
        <v>115.22</v>
      </c>
      <c r="N43" s="6">
        <f>18.49*1.05*1.2</f>
        <v>23.2974</v>
      </c>
      <c r="O43" s="6"/>
      <c r="P43" s="6"/>
      <c r="Q43" s="6"/>
    </row>
    <row r="44" spans="1:17" ht="15.75" customHeight="1" x14ac:dyDescent="0.2">
      <c r="A44" s="1">
        <v>45201</v>
      </c>
      <c r="B44" s="2" t="s">
        <v>82</v>
      </c>
      <c r="C44" s="2" t="s">
        <v>83</v>
      </c>
      <c r="D44" s="6">
        <f>18.5*1.05*1.15</f>
        <v>22.338749999999997</v>
      </c>
      <c r="E44" s="6"/>
      <c r="F44" s="6"/>
      <c r="G44" s="6"/>
      <c r="H44" s="6">
        <f>18.5*1.05*1.15</f>
        <v>22.338749999999997</v>
      </c>
      <c r="I44" s="6"/>
      <c r="J44" s="6"/>
      <c r="K44" s="6"/>
      <c r="L44" s="6">
        <f>17.5*1.05*1.15</f>
        <v>21.131249999999998</v>
      </c>
      <c r="M44" s="6"/>
      <c r="N44" s="6">
        <f>17.5*1.05*1.15</f>
        <v>21.131249999999998</v>
      </c>
      <c r="O44" s="6">
        <v>86.94</v>
      </c>
      <c r="P44" s="6"/>
      <c r="Q44" s="6"/>
    </row>
    <row r="45" spans="1:17" ht="15.75" customHeight="1" x14ac:dyDescent="0.2">
      <c r="A45" s="1">
        <v>45207</v>
      </c>
      <c r="B45" s="2" t="s">
        <v>78</v>
      </c>
      <c r="C45" s="2" t="s">
        <v>84</v>
      </c>
      <c r="D45" s="6">
        <f>24/4</f>
        <v>6</v>
      </c>
      <c r="E45" s="6"/>
      <c r="F45" s="6"/>
      <c r="G45" s="6"/>
      <c r="H45" s="6">
        <f>24/4</f>
        <v>6</v>
      </c>
      <c r="I45" s="6">
        <v>24</v>
      </c>
      <c r="J45" s="6"/>
      <c r="K45" s="6"/>
      <c r="L45" s="6">
        <f>24/4</f>
        <v>6</v>
      </c>
      <c r="M45" s="6"/>
      <c r="N45" s="6">
        <f>24/4</f>
        <v>6</v>
      </c>
      <c r="O45" s="6"/>
      <c r="P45" s="6"/>
      <c r="Q45" s="6"/>
    </row>
    <row r="46" spans="1:17" ht="15.75" customHeight="1" x14ac:dyDescent="0.2">
      <c r="A46" s="1">
        <v>45207</v>
      </c>
      <c r="B46" s="2" t="s">
        <v>85</v>
      </c>
      <c r="C46" s="2" t="s">
        <v>23</v>
      </c>
      <c r="D46" s="6">
        <f>14/4</f>
        <v>3.5</v>
      </c>
      <c r="E46" s="6">
        <v>14</v>
      </c>
      <c r="F46" s="6"/>
      <c r="G46" s="6"/>
      <c r="H46" s="6">
        <f>14/4</f>
        <v>3.5</v>
      </c>
      <c r="I46" s="6"/>
      <c r="J46" s="6"/>
      <c r="K46" s="6"/>
      <c r="L46" s="6">
        <f>14/4</f>
        <v>3.5</v>
      </c>
      <c r="M46" s="6"/>
      <c r="N46" s="6">
        <f>14/4</f>
        <v>3.5</v>
      </c>
      <c r="O46" s="6"/>
      <c r="P46" s="6"/>
      <c r="Q46" s="6"/>
    </row>
    <row r="47" spans="1:17" ht="15.75" customHeight="1" x14ac:dyDescent="0.2">
      <c r="A47" s="1">
        <v>45207</v>
      </c>
      <c r="B47" s="2" t="s">
        <v>86</v>
      </c>
      <c r="C47" s="2" t="s">
        <v>83</v>
      </c>
      <c r="D47" s="6">
        <f>17.95*1.05*1.15</f>
        <v>21.674624999999999</v>
      </c>
      <c r="E47" s="6"/>
      <c r="F47" s="6"/>
      <c r="G47" s="6"/>
      <c r="H47" s="6">
        <f>(17.95+1.5+1.5)*1.05*1.15</f>
        <v>25.297124999999998</v>
      </c>
      <c r="I47" s="6"/>
      <c r="J47" s="6"/>
      <c r="K47" s="6"/>
      <c r="L47" s="6">
        <f>15.75*1.05*1.15</f>
        <v>19.018125000000001</v>
      </c>
      <c r="M47" s="6">
        <v>91.34</v>
      </c>
      <c r="N47" s="6">
        <f>(15.75+5.25)*1.05*1.15</f>
        <v>25.357499999999998</v>
      </c>
      <c r="O47" s="6"/>
      <c r="P47" s="6"/>
      <c r="Q47" s="6"/>
    </row>
    <row r="48" spans="1:17" ht="15.75" customHeight="1" x14ac:dyDescent="0.2">
      <c r="A48" s="1">
        <v>45227</v>
      </c>
      <c r="B48" s="2" t="s">
        <v>87</v>
      </c>
      <c r="C48" s="2" t="s">
        <v>88</v>
      </c>
      <c r="D48" s="6">
        <f>243.71/5</f>
        <v>48.742000000000004</v>
      </c>
      <c r="E48" s="6"/>
      <c r="F48" s="6"/>
      <c r="G48" s="6"/>
      <c r="H48" s="6">
        <f>243.71/5</f>
        <v>48.742000000000004</v>
      </c>
      <c r="I48" s="6"/>
      <c r="J48" s="6">
        <f>243.71/5</f>
        <v>48.742000000000004</v>
      </c>
      <c r="K48" s="6">
        <v>243.71</v>
      </c>
      <c r="L48" s="6"/>
      <c r="M48" s="6"/>
      <c r="N48" s="6">
        <f>243.71/5</f>
        <v>48.742000000000004</v>
      </c>
      <c r="O48" s="6"/>
      <c r="P48" s="6">
        <f>243.71/5</f>
        <v>48.742000000000004</v>
      </c>
      <c r="Q48" s="6"/>
    </row>
    <row r="49" spans="1:17" ht="15.75" customHeight="1" x14ac:dyDescent="0.2">
      <c r="A49" s="1">
        <v>45227</v>
      </c>
      <c r="B49" s="2" t="s">
        <v>87</v>
      </c>
      <c r="C49" s="2" t="s">
        <v>89</v>
      </c>
      <c r="D49" s="6"/>
      <c r="E49" s="6">
        <f>(243.71*0.04)/5</f>
        <v>1.9496800000000001</v>
      </c>
      <c r="F49" s="6"/>
      <c r="G49" s="6"/>
      <c r="H49" s="6"/>
      <c r="I49" s="6">
        <f>(243.71*0.04)/5</f>
        <v>1.9496800000000001</v>
      </c>
      <c r="J49" s="6">
        <f>(243.71*0.04)</f>
        <v>9.7484000000000002</v>
      </c>
      <c r="K49" s="6">
        <f>(243.71*0.04)/5</f>
        <v>1.9496800000000001</v>
      </c>
      <c r="L49" s="6"/>
      <c r="M49" s="6"/>
      <c r="N49" s="6"/>
      <c r="O49" s="6">
        <f>(243.71*0.04)/5</f>
        <v>1.9496800000000001</v>
      </c>
      <c r="P49" s="6"/>
      <c r="Q49" s="6">
        <f>(243.71*0.04)/5</f>
        <v>1.9496800000000001</v>
      </c>
    </row>
    <row r="50" spans="1:17" ht="15.75" customHeight="1" x14ac:dyDescent="0.2">
      <c r="A50" s="1">
        <v>45227</v>
      </c>
      <c r="B50" s="2" t="s">
        <v>87</v>
      </c>
      <c r="C50" s="2" t="s">
        <v>90</v>
      </c>
      <c r="D50" s="6"/>
      <c r="E50" s="6">
        <v>10</v>
      </c>
      <c r="F50" s="6"/>
      <c r="G50" s="6"/>
      <c r="H50" s="6">
        <f>40</f>
        <v>40</v>
      </c>
      <c r="I50" s="6"/>
      <c r="J50" s="6"/>
      <c r="K50" s="6">
        <v>10</v>
      </c>
      <c r="L50" s="6"/>
      <c r="M50" s="6"/>
      <c r="N50" s="6"/>
      <c r="O50" s="6">
        <v>10</v>
      </c>
      <c r="P50" s="6"/>
      <c r="Q50" s="6">
        <v>10</v>
      </c>
    </row>
    <row r="51" spans="1:17" ht="15.75" customHeight="1" x14ac:dyDescent="0.2">
      <c r="A51" s="1">
        <v>45227</v>
      </c>
      <c r="B51" s="2" t="s">
        <v>91</v>
      </c>
      <c r="C51" s="2" t="s">
        <v>92</v>
      </c>
      <c r="D51" s="6">
        <v>3</v>
      </c>
      <c r="E51" s="6"/>
      <c r="F51" s="6"/>
      <c r="G51" s="6"/>
      <c r="H51" s="6"/>
      <c r="I51" s="6">
        <v>9</v>
      </c>
      <c r="J51" s="6">
        <v>3</v>
      </c>
      <c r="K51" s="6"/>
      <c r="L51" s="6"/>
      <c r="M51" s="6"/>
      <c r="N51" s="6">
        <v>3</v>
      </c>
      <c r="O51" s="6"/>
      <c r="P51" s="6"/>
      <c r="Q51" s="6"/>
    </row>
    <row r="52" spans="1:17" ht="15.75" customHeight="1" x14ac:dyDescent="0.2">
      <c r="A52" s="1">
        <v>45261</v>
      </c>
      <c r="B52" s="2" t="s">
        <v>14</v>
      </c>
      <c r="C52" s="2" t="s">
        <v>93</v>
      </c>
      <c r="D52" s="6"/>
      <c r="E52" s="6"/>
      <c r="F52" s="6">
        <f>((94+6)/4)*1.2</f>
        <v>30</v>
      </c>
      <c r="G52" s="6"/>
      <c r="H52" s="6">
        <f>(15+3)*1.2</f>
        <v>21.599999999999998</v>
      </c>
      <c r="I52" s="6">
        <v>141.6</v>
      </c>
      <c r="J52" s="6">
        <f>100/4*1.2</f>
        <v>30</v>
      </c>
      <c r="K52" s="6"/>
      <c r="L52" s="6">
        <f>100/4*1.2</f>
        <v>30</v>
      </c>
      <c r="M52" s="6"/>
      <c r="N52" s="6">
        <f>100/4*1.2</f>
        <v>30</v>
      </c>
      <c r="O52" s="6"/>
      <c r="P52" s="6"/>
      <c r="Q52" s="6"/>
    </row>
    <row r="53" spans="1:17" ht="15.75" customHeight="1" x14ac:dyDescent="0.2">
      <c r="A53" s="1">
        <v>45311</v>
      </c>
      <c r="B53" s="2" t="s">
        <v>94</v>
      </c>
      <c r="C53" s="2" t="s">
        <v>23</v>
      </c>
      <c r="D53" s="6">
        <f>(2.42619+17.5)*1.05*1.15</f>
        <v>24.060874424999998</v>
      </c>
      <c r="E53" s="6"/>
      <c r="F53" s="6"/>
      <c r="G53" s="6"/>
      <c r="H53" s="6">
        <f>(17.5+2.42619*2)*1.05*1.15</f>
        <v>26.990498849999998</v>
      </c>
      <c r="I53" s="6"/>
      <c r="J53" s="6"/>
      <c r="K53" s="6"/>
      <c r="L53" s="6">
        <f>17.9*1.05*1.15</f>
        <v>21.614249999999995</v>
      </c>
      <c r="M53" s="6"/>
      <c r="N53" s="6">
        <f>(2.42619+17.9)*1.05*1.15</f>
        <v>24.543874424999998</v>
      </c>
      <c r="O53" s="6">
        <v>97.2</v>
      </c>
      <c r="P53" s="6"/>
      <c r="Q53" s="6"/>
    </row>
    <row r="54" spans="1:17" ht="15.75" customHeight="1" x14ac:dyDescent="0.2">
      <c r="A54" s="1">
        <v>45318</v>
      </c>
      <c r="B54" s="2" t="s">
        <v>95</v>
      </c>
      <c r="C54" s="2" t="s">
        <v>96</v>
      </c>
      <c r="D54" s="6">
        <f>270.13/6+(270.13/6-H54)/5</f>
        <v>46.196144927536231</v>
      </c>
      <c r="E54" s="6"/>
      <c r="F54" s="6">
        <f>270.13/6+(270.13/6-H54)/5</f>
        <v>46.196144927536231</v>
      </c>
      <c r="G54" s="6">
        <v>270.13</v>
      </c>
      <c r="H54" s="6">
        <f>270.13/6/1.15</f>
        <v>39.149275362318846</v>
      </c>
      <c r="I54" s="6"/>
      <c r="J54" s="6">
        <f>270.13/6+(270.13/6-H54)/5</f>
        <v>46.196144927536231</v>
      </c>
      <c r="K54" s="6"/>
      <c r="L54" s="6">
        <f>270.13/6+(270.13/6-H54)/5</f>
        <v>46.196144927536231</v>
      </c>
      <c r="M54" s="6"/>
      <c r="N54" s="6"/>
      <c r="O54" s="6"/>
      <c r="P54" s="6">
        <f>270.13/6+(270.13/6-H54)/5</f>
        <v>46.196144927536231</v>
      </c>
      <c r="Q54" s="6"/>
    </row>
    <row r="55" spans="1:17" ht="15.75" customHeight="1" x14ac:dyDescent="0.2">
      <c r="A55" s="1">
        <v>45332</v>
      </c>
      <c r="B55" s="2" t="s">
        <v>97</v>
      </c>
      <c r="C55" s="2" t="s">
        <v>98</v>
      </c>
      <c r="D55" s="6">
        <f>11.99*1.12</f>
        <v>13.428800000000001</v>
      </c>
      <c r="E55" s="6"/>
      <c r="F55" s="6"/>
      <c r="G55" s="6"/>
      <c r="H55" s="6"/>
      <c r="I55" s="6"/>
      <c r="J55" s="6"/>
      <c r="K55" s="6"/>
      <c r="L55" s="6"/>
      <c r="M55" s="6">
        <f>11.99*1.12</f>
        <v>13.428800000000001</v>
      </c>
      <c r="N55" s="6"/>
      <c r="O55" s="6"/>
      <c r="P55" s="6"/>
      <c r="Q55" s="6"/>
    </row>
    <row r="56" spans="1:17" ht="15.75" customHeight="1" x14ac:dyDescent="0.2">
      <c r="A56" s="1">
        <v>45332</v>
      </c>
      <c r="B56" s="2" t="s">
        <v>99</v>
      </c>
      <c r="C56" s="2" t="s">
        <v>100</v>
      </c>
      <c r="D56" s="6">
        <v>11.2</v>
      </c>
      <c r="E56" s="6"/>
      <c r="F56" s="6"/>
      <c r="G56" s="6"/>
      <c r="H56" s="6"/>
      <c r="I56" s="6">
        <v>11.2</v>
      </c>
      <c r="J56" s="6"/>
      <c r="K56" s="6"/>
      <c r="L56" s="6"/>
      <c r="M56" s="6"/>
      <c r="N56" s="6"/>
      <c r="O56" s="6"/>
      <c r="P56" s="6"/>
      <c r="Q56" s="6"/>
    </row>
    <row r="57" spans="1:17" ht="15.75" customHeight="1" x14ac:dyDescent="0.2">
      <c r="A57" s="1">
        <v>45345</v>
      </c>
      <c r="B57" s="2" t="s">
        <v>101</v>
      </c>
      <c r="C57" s="2" t="s">
        <v>102</v>
      </c>
      <c r="D57" s="6">
        <f>10*1.2</f>
        <v>12</v>
      </c>
      <c r="E57" s="6">
        <v>72</v>
      </c>
      <c r="F57" s="6">
        <f>20*1.2</f>
        <v>24</v>
      </c>
      <c r="G57" s="6"/>
      <c r="H57" s="6">
        <f>20*1.2</f>
        <v>24</v>
      </c>
      <c r="I57" s="6"/>
      <c r="J57" s="6"/>
      <c r="K57" s="6"/>
      <c r="L57" s="6">
        <f>10*1.2</f>
        <v>12</v>
      </c>
      <c r="M57" s="6"/>
      <c r="N57" s="6"/>
      <c r="O57" s="6"/>
      <c r="P57" s="6"/>
      <c r="Q57" s="6"/>
    </row>
    <row r="58" spans="1:17" ht="15.75" customHeight="1" x14ac:dyDescent="0.2">
      <c r="A58" s="1">
        <v>45373</v>
      </c>
      <c r="B58" s="2" t="s">
        <v>103</v>
      </c>
      <c r="C58" s="2" t="s">
        <v>104</v>
      </c>
      <c r="D58" s="6">
        <f>(12.35+14.65/5)*1.05*1.15</f>
        <v>18.450599999999998</v>
      </c>
      <c r="E58" s="6"/>
      <c r="F58" s="6">
        <f>(14.25+14.65/5)*1.05*1.15</f>
        <v>20.74485</v>
      </c>
      <c r="G58" s="6"/>
      <c r="H58" s="6">
        <f>(14.25+1.5+14.65/5)*1.05*1.15</f>
        <v>22.556100000000001</v>
      </c>
      <c r="I58" s="6">
        <v>108.3</v>
      </c>
      <c r="J58" s="6">
        <f>(13.45+14.65/5)*1.05*1.15</f>
        <v>19.778849999999995</v>
      </c>
      <c r="K58" s="6"/>
      <c r="L58" s="6">
        <f>((15.35+3.65+14.65/5)*1.05+0.26)*1.15</f>
        <v>26.779475000000001</v>
      </c>
      <c r="M58" s="6"/>
      <c r="N58" s="6"/>
      <c r="O58" s="6"/>
      <c r="P58" s="6"/>
      <c r="Q58" s="6"/>
    </row>
    <row r="59" spans="1:17" ht="15.75" customHeight="1" x14ac:dyDescent="0.2">
      <c r="A59" s="1">
        <v>45382</v>
      </c>
      <c r="B59" s="2" t="s">
        <v>105</v>
      </c>
      <c r="C59" s="2" t="s">
        <v>106</v>
      </c>
      <c r="D59" s="6">
        <f>(23+1)*1.23+4*1.33</f>
        <v>34.840000000000003</v>
      </c>
      <c r="E59" s="6"/>
      <c r="F59" s="6"/>
      <c r="G59" s="6"/>
      <c r="H59" s="6">
        <f>(23+1)*1.23+4*1.33</f>
        <v>34.840000000000003</v>
      </c>
      <c r="I59" s="6"/>
      <c r="J59" s="6"/>
      <c r="K59" s="6"/>
      <c r="L59" s="6">
        <f>23*1.23+4*1.33</f>
        <v>33.61</v>
      </c>
      <c r="M59" s="6"/>
      <c r="N59" s="6">
        <f>(15+8)*1.23+4*1.33</f>
        <v>33.61</v>
      </c>
      <c r="O59" s="6"/>
      <c r="P59" s="6">
        <f>(17+3)*1.23+4*1.33</f>
        <v>29.92</v>
      </c>
      <c r="Q59" s="6">
        <v>166.82</v>
      </c>
    </row>
    <row r="60" spans="1:17" ht="15.75" customHeight="1" x14ac:dyDescent="0.2">
      <c r="A60" s="1">
        <v>45382</v>
      </c>
      <c r="B60" s="2" t="s">
        <v>107</v>
      </c>
      <c r="C60" s="2" t="s">
        <v>23</v>
      </c>
      <c r="D60" s="6">
        <f>62.9/4</f>
        <v>15.725</v>
      </c>
      <c r="E60" s="6"/>
      <c r="F60" s="6"/>
      <c r="G60" s="6"/>
      <c r="H60" s="6">
        <f>62.9/4</f>
        <v>15.725</v>
      </c>
      <c r="I60" s="6">
        <v>62.9</v>
      </c>
      <c r="J60" s="6"/>
      <c r="K60" s="6"/>
      <c r="L60" s="6">
        <f>62.9/4</f>
        <v>15.725</v>
      </c>
      <c r="M60" s="6"/>
      <c r="N60" s="6"/>
      <c r="O60" s="6"/>
      <c r="P60" s="6">
        <f>62.9/4</f>
        <v>15.725</v>
      </c>
      <c r="Q60" s="6"/>
    </row>
    <row r="61" spans="1:17" ht="15.75" customHeight="1" x14ac:dyDescent="0.2">
      <c r="A61" s="1">
        <v>45382</v>
      </c>
      <c r="B61" s="2" t="s">
        <v>108</v>
      </c>
      <c r="C61" s="2" t="s">
        <v>109</v>
      </c>
      <c r="D61" s="6">
        <f>(16+2)/4</f>
        <v>4.5</v>
      </c>
      <c r="E61" s="6"/>
      <c r="F61" s="6"/>
      <c r="G61" s="6"/>
      <c r="H61" s="6">
        <f>(16+2)/4</f>
        <v>4.5</v>
      </c>
      <c r="I61" s="6">
        <f>(16+2)</f>
        <v>18</v>
      </c>
      <c r="J61" s="6"/>
      <c r="K61" s="6"/>
      <c r="L61" s="6">
        <f>(16+2)/4</f>
        <v>4.5</v>
      </c>
      <c r="M61" s="6"/>
      <c r="N61" s="6"/>
      <c r="O61" s="6"/>
      <c r="P61" s="6">
        <f>(16+2)/4</f>
        <v>4.5</v>
      </c>
      <c r="Q61" s="6"/>
    </row>
    <row r="62" spans="1:17" ht="15.75" customHeight="1" x14ac:dyDescent="0.2">
      <c r="A62" s="1">
        <v>45395</v>
      </c>
      <c r="B62" s="2" t="s">
        <v>110</v>
      </c>
      <c r="C62" s="2" t="s">
        <v>111</v>
      </c>
      <c r="D62" s="6">
        <v>24.63</v>
      </c>
      <c r="E62" s="6">
        <v>67.180000000000007</v>
      </c>
      <c r="F62" s="6"/>
      <c r="G62" s="6"/>
      <c r="H62" s="6">
        <v>42.55</v>
      </c>
      <c r="I62" s="6"/>
      <c r="J62" s="6"/>
      <c r="K62" s="6"/>
      <c r="L62" s="6"/>
      <c r="M62" s="6"/>
      <c r="N62" s="6"/>
      <c r="O62" s="6"/>
      <c r="P62" s="6"/>
      <c r="Q62" s="6"/>
    </row>
    <row r="63" spans="1:17" ht="15.75" customHeight="1" x14ac:dyDescent="0.2">
      <c r="A63" s="1">
        <v>45395</v>
      </c>
      <c r="B63" s="2" t="s">
        <v>112</v>
      </c>
      <c r="C63" s="2" t="s">
        <v>113</v>
      </c>
      <c r="D63" s="6">
        <f>17.5*84/73</f>
        <v>20.136986301369863</v>
      </c>
      <c r="E63" s="6">
        <v>84</v>
      </c>
      <c r="F63" s="6"/>
      <c r="G63" s="6"/>
      <c r="H63" s="6">
        <f>(17.5+3)*84/73</f>
        <v>23.589041095890412</v>
      </c>
      <c r="I63" s="6"/>
      <c r="J63" s="6">
        <f>17.5*84/73</f>
        <v>20.136986301369863</v>
      </c>
      <c r="K63" s="6"/>
      <c r="L63" s="6"/>
      <c r="M63" s="6"/>
      <c r="N63" s="6">
        <f>17.5*84/73</f>
        <v>20.136986301369863</v>
      </c>
      <c r="O63" s="6"/>
      <c r="P63" s="6"/>
      <c r="Q63" s="6"/>
    </row>
    <row r="64" spans="1:17" ht="15.75" customHeight="1" x14ac:dyDescent="0.2">
      <c r="A64" s="1">
        <v>45395</v>
      </c>
      <c r="B64" s="2" t="s">
        <v>22</v>
      </c>
      <c r="C64" s="2" t="s">
        <v>114</v>
      </c>
      <c r="D64" s="6">
        <f>43/3</f>
        <v>14.333333333333334</v>
      </c>
      <c r="E64" s="6"/>
      <c r="F64" s="6"/>
      <c r="G64" s="6"/>
      <c r="H64" s="6">
        <f>43/3</f>
        <v>14.333333333333334</v>
      </c>
      <c r="I64" s="6">
        <v>43</v>
      </c>
      <c r="J64" s="6">
        <f>43/3</f>
        <v>14.333333333333334</v>
      </c>
      <c r="K64" s="6"/>
      <c r="L64" s="6"/>
      <c r="M64" s="6"/>
      <c r="N64" s="6"/>
      <c r="O64" s="6"/>
      <c r="P64" s="6"/>
      <c r="Q64" s="6"/>
    </row>
    <row r="65" spans="1:17" ht="15.75" customHeight="1" x14ac:dyDescent="0.2">
      <c r="A65" s="1">
        <v>45395</v>
      </c>
      <c r="B65" s="2" t="s">
        <v>115</v>
      </c>
      <c r="C65" s="2" t="s">
        <v>116</v>
      </c>
      <c r="D65" s="6">
        <v>10.74</v>
      </c>
      <c r="E65" s="6"/>
      <c r="F65" s="6"/>
      <c r="G65" s="6"/>
      <c r="H65" s="6"/>
      <c r="I65" s="6">
        <v>10.74</v>
      </c>
      <c r="J65" s="6"/>
      <c r="K65" s="6"/>
      <c r="L65" s="6"/>
      <c r="M65" s="6"/>
      <c r="N65" s="6"/>
      <c r="O65" s="6"/>
      <c r="P65" s="6"/>
      <c r="Q65" s="6"/>
    </row>
    <row r="66" spans="1:17" ht="15.75" customHeight="1" x14ac:dyDescent="0.2">
      <c r="A66" s="1">
        <v>45415</v>
      </c>
      <c r="B66" s="2" t="s">
        <v>117</v>
      </c>
      <c r="C66" s="2" t="s">
        <v>118</v>
      </c>
      <c r="D66" s="6">
        <v>17.010000000000002</v>
      </c>
      <c r="E66" s="6">
        <v>85.07</v>
      </c>
      <c r="F66" s="6">
        <v>17.010000000000002</v>
      </c>
      <c r="G66" s="6"/>
      <c r="H66" s="6">
        <v>17.010000000000002</v>
      </c>
      <c r="I66" s="6"/>
      <c r="J66" s="6">
        <v>17.010000000000002</v>
      </c>
      <c r="K66" s="6"/>
      <c r="L66" s="6"/>
      <c r="M66" s="6"/>
      <c r="N66" s="6"/>
      <c r="O66" s="6"/>
      <c r="P66" s="6">
        <v>17.010000000000002</v>
      </c>
      <c r="Q66" s="6"/>
    </row>
    <row r="67" spans="1:17" ht="15.75" customHeight="1" x14ac:dyDescent="0.2">
      <c r="A67" s="1">
        <v>45416</v>
      </c>
      <c r="B67" s="2" t="s">
        <v>119</v>
      </c>
      <c r="C67" s="2" t="s">
        <v>120</v>
      </c>
      <c r="D67" s="6">
        <v>16.38</v>
      </c>
      <c r="E67" s="6"/>
      <c r="F67" s="6">
        <v>16.38</v>
      </c>
      <c r="G67" s="6"/>
      <c r="H67" s="6">
        <v>16.38</v>
      </c>
      <c r="I67" s="6">
        <v>81.89</v>
      </c>
      <c r="J67" s="6">
        <v>16.38</v>
      </c>
      <c r="K67" s="6"/>
      <c r="L67" s="6"/>
      <c r="M67" s="6"/>
      <c r="N67" s="6"/>
      <c r="O67" s="6"/>
      <c r="P67" s="6">
        <v>16.38</v>
      </c>
      <c r="Q67" s="6"/>
    </row>
    <row r="68" spans="1:17" ht="15.75" customHeight="1" x14ac:dyDescent="0.2">
      <c r="A68" s="1">
        <v>45416</v>
      </c>
      <c r="B68" s="2" t="s">
        <v>121</v>
      </c>
      <c r="C68" s="2" t="s">
        <v>122</v>
      </c>
      <c r="D68" s="6">
        <v>5.88</v>
      </c>
      <c r="E68" s="6"/>
      <c r="F68" s="6">
        <v>5.88</v>
      </c>
      <c r="G68" s="6"/>
      <c r="H68" s="6">
        <v>5.88</v>
      </c>
      <c r="I68" s="6">
        <v>29.4</v>
      </c>
      <c r="J68" s="6">
        <v>5.88</v>
      </c>
      <c r="K68" s="6"/>
      <c r="L68" s="6"/>
      <c r="M68" s="6"/>
      <c r="N68" s="6"/>
      <c r="O68" s="6"/>
      <c r="P68" s="6">
        <v>5.88</v>
      </c>
      <c r="Q68" s="6"/>
    </row>
    <row r="69" spans="1:17" ht="15.75" customHeight="1" x14ac:dyDescent="0.2">
      <c r="A69" s="1">
        <v>45416</v>
      </c>
      <c r="B69" s="2" t="s">
        <v>123</v>
      </c>
      <c r="C69" s="2" t="s">
        <v>124</v>
      </c>
      <c r="D69" s="6">
        <v>2.8</v>
      </c>
      <c r="E69" s="6"/>
      <c r="F69" s="6">
        <v>2.8</v>
      </c>
      <c r="G69" s="6">
        <v>5.6</v>
      </c>
      <c r="H69" s="6"/>
      <c r="I69" s="6"/>
      <c r="J69" s="6"/>
      <c r="K69" s="6"/>
      <c r="L69" s="6"/>
      <c r="M69" s="6"/>
      <c r="N69" s="6"/>
      <c r="O69" s="6"/>
      <c r="P69" s="6"/>
      <c r="Q69" s="6"/>
    </row>
    <row r="70" spans="1:17" ht="15.75" customHeight="1" x14ac:dyDescent="0.2">
      <c r="A70" s="1">
        <v>45422</v>
      </c>
      <c r="B70" s="2" t="s">
        <v>22</v>
      </c>
      <c r="C70" s="2" t="s">
        <v>125</v>
      </c>
      <c r="D70" s="6">
        <f>13.77-1.13</f>
        <v>12.64</v>
      </c>
      <c r="E70" s="6"/>
      <c r="F70" s="6"/>
      <c r="G70" s="6"/>
      <c r="H70" s="6"/>
      <c r="I70" s="6"/>
      <c r="J70" s="6">
        <f>15.45-1</f>
        <v>14.45</v>
      </c>
      <c r="K70" s="6">
        <v>27.09</v>
      </c>
      <c r="L70" s="6"/>
      <c r="M70" s="6"/>
      <c r="N70" s="6"/>
      <c r="O70" s="6"/>
      <c r="P70" s="6"/>
      <c r="Q70" s="6"/>
    </row>
    <row r="71" spans="1:17" ht="15.75" customHeight="1" x14ac:dyDescent="0.2">
      <c r="A71" s="1">
        <v>45438</v>
      </c>
      <c r="B71" s="2" t="s">
        <v>126</v>
      </c>
      <c r="C71" s="2" t="s">
        <v>127</v>
      </c>
      <c r="D71" s="6">
        <f>16.25/4</f>
        <v>4.0625</v>
      </c>
      <c r="E71" s="6"/>
      <c r="F71" s="6"/>
      <c r="G71" s="6"/>
      <c r="H71" s="6"/>
      <c r="I71" s="6"/>
      <c r="J71" s="6">
        <f>16.25/4</f>
        <v>4.0625</v>
      </c>
      <c r="K71" s="6"/>
      <c r="L71" s="6">
        <f>16.25/4</f>
        <v>4.0625</v>
      </c>
      <c r="M71" s="6">
        <v>16.25</v>
      </c>
      <c r="N71" s="6"/>
      <c r="O71" s="6"/>
      <c r="P71" s="6">
        <f>16.25/4</f>
        <v>4.0625</v>
      </c>
      <c r="Q71" s="6"/>
    </row>
    <row r="72" spans="1:17" ht="15.75" customHeight="1" x14ac:dyDescent="0.2">
      <c r="A72" s="1">
        <v>45438</v>
      </c>
      <c r="B72" s="2" t="s">
        <v>128</v>
      </c>
      <c r="C72" s="2" t="s">
        <v>129</v>
      </c>
      <c r="D72" s="6">
        <f>35.41-29.5</f>
        <v>5.9099999999999966</v>
      </c>
      <c r="E72" s="6"/>
      <c r="F72" s="6">
        <f>25.81-21.5</f>
        <v>4.3099999999999987</v>
      </c>
      <c r="G72" s="6"/>
      <c r="H72" s="6">
        <f>41.41+14.4-30</f>
        <v>25.809999999999995</v>
      </c>
      <c r="I72" s="6"/>
      <c r="J72" s="6">
        <f>32.4+6-27</f>
        <v>11.399999999999999</v>
      </c>
      <c r="K72" s="6"/>
      <c r="L72" s="6">
        <f>34.2-28</f>
        <v>6.2000000000000028</v>
      </c>
      <c r="M72" s="6"/>
      <c r="N72" s="6">
        <f>24.61+29.5+21.5+30+27+28+30</f>
        <v>190.61</v>
      </c>
      <c r="O72" s="6">
        <v>258.35000000000002</v>
      </c>
      <c r="P72" s="6">
        <f>44.11-30</f>
        <v>14.11</v>
      </c>
      <c r="Q72" s="6"/>
    </row>
    <row r="73" spans="1:17" ht="15.75" customHeight="1" x14ac:dyDescent="0.2">
      <c r="A73" s="1">
        <v>45450</v>
      </c>
      <c r="B73" s="2" t="s">
        <v>130</v>
      </c>
      <c r="C73" s="2" t="s">
        <v>83</v>
      </c>
      <c r="D73" s="6">
        <f>(70.47/3)*1.05*1.15</f>
        <v>28.364174999999999</v>
      </c>
      <c r="E73" s="6"/>
      <c r="F73" s="6"/>
      <c r="G73" s="6"/>
      <c r="H73" s="6"/>
      <c r="I73" s="6"/>
      <c r="J73" s="6">
        <f>(70.47/3)*1.05*1.15</f>
        <v>28.364174999999999</v>
      </c>
      <c r="K73" s="6"/>
      <c r="L73" s="6">
        <f>23.49*1.05*1.15</f>
        <v>28.364174999999999</v>
      </c>
      <c r="M73" s="6">
        <v>116.48</v>
      </c>
      <c r="N73" s="6"/>
      <c r="O73" s="6"/>
      <c r="P73" s="6">
        <f>((70.47/3)+2.5)*1.05*1.15</f>
        <v>31.382924999999997</v>
      </c>
      <c r="Q73" s="6"/>
    </row>
    <row r="74" spans="1:17" ht="15.75" customHeight="1" x14ac:dyDescent="0.2">
      <c r="A74" s="1">
        <v>45359</v>
      </c>
      <c r="B74" s="2" t="s">
        <v>131</v>
      </c>
      <c r="C74" s="2" t="s">
        <v>132</v>
      </c>
      <c r="D74" s="6">
        <v>1.64</v>
      </c>
      <c r="E74" s="6"/>
      <c r="F74" s="6">
        <v>17.34</v>
      </c>
      <c r="G74" s="6"/>
      <c r="H74" s="6">
        <v>123.41</v>
      </c>
      <c r="I74" s="6">
        <v>180.85</v>
      </c>
      <c r="J74" s="6"/>
      <c r="K74" s="6"/>
      <c r="L74" s="6"/>
      <c r="M74" s="6"/>
      <c r="N74" s="6">
        <v>38.46</v>
      </c>
      <c r="O74" s="6"/>
      <c r="P74" s="6"/>
      <c r="Q74" s="6"/>
    </row>
    <row r="75" spans="1:17" ht="15.75" customHeight="1" x14ac:dyDescent="0.2">
      <c r="A75" s="1">
        <v>45359</v>
      </c>
      <c r="B75" s="2" t="s">
        <v>133</v>
      </c>
      <c r="C75" s="2" t="s">
        <v>134</v>
      </c>
      <c r="D75" s="6">
        <v>2.23</v>
      </c>
      <c r="E75" s="6"/>
      <c r="F75" s="6"/>
      <c r="G75" s="6"/>
      <c r="H75" s="6">
        <v>6.69</v>
      </c>
      <c r="I75" s="6">
        <v>8.92</v>
      </c>
      <c r="J75" s="6"/>
      <c r="K75" s="6"/>
      <c r="L75" s="6"/>
      <c r="M75" s="6"/>
      <c r="N75" s="6"/>
      <c r="O75" s="6"/>
      <c r="P75" s="6"/>
      <c r="Q75" s="6"/>
    </row>
    <row r="76" spans="1:17" ht="15.75" customHeight="1" x14ac:dyDescent="0.2">
      <c r="A76" s="1">
        <v>45359</v>
      </c>
      <c r="B76" s="2" t="s">
        <v>135</v>
      </c>
      <c r="C76" s="2" t="s">
        <v>136</v>
      </c>
      <c r="D76" s="6">
        <v>22</v>
      </c>
      <c r="E76" s="6">
        <v>88</v>
      </c>
      <c r="F76" s="6">
        <v>22</v>
      </c>
      <c r="G76" s="6"/>
      <c r="H76" s="6">
        <v>22</v>
      </c>
      <c r="I76" s="6"/>
      <c r="J76" s="6"/>
      <c r="K76" s="6"/>
      <c r="L76" s="6"/>
      <c r="M76" s="6"/>
      <c r="N76" s="6">
        <v>22</v>
      </c>
      <c r="O76" s="6"/>
      <c r="P76" s="6"/>
      <c r="Q76" s="6"/>
    </row>
    <row r="77" spans="1:17" ht="15.75" customHeight="1" x14ac:dyDescent="0.2">
      <c r="A77" s="1">
        <v>45359</v>
      </c>
      <c r="B77" s="2" t="s">
        <v>137</v>
      </c>
      <c r="C77" s="2" t="s">
        <v>138</v>
      </c>
      <c r="D77" s="6">
        <v>10.130000000000001</v>
      </c>
      <c r="E77" s="6"/>
      <c r="F77" s="6">
        <v>10.130000000000001</v>
      </c>
      <c r="G77" s="6"/>
      <c r="H77" s="6">
        <v>10.130000000000001</v>
      </c>
      <c r="I77" s="6"/>
      <c r="J77" s="6"/>
      <c r="K77" s="6"/>
      <c r="L77" s="6"/>
      <c r="M77" s="6"/>
      <c r="N77" s="6">
        <v>10.130000000000001</v>
      </c>
      <c r="O77" s="6">
        <v>40.5</v>
      </c>
      <c r="P77" s="6"/>
      <c r="Q77" s="6"/>
    </row>
    <row r="78" spans="1:17" ht="15.75" customHeight="1" x14ac:dyDescent="0.2">
      <c r="A78" s="1">
        <v>45451</v>
      </c>
      <c r="B78" s="2" t="s">
        <v>139</v>
      </c>
      <c r="C78" s="2" t="s">
        <v>83</v>
      </c>
      <c r="D78" s="6">
        <v>30.17</v>
      </c>
      <c r="E78" s="6">
        <v>101</v>
      </c>
      <c r="F78" s="6"/>
      <c r="G78" s="6"/>
      <c r="H78" s="6">
        <v>26.54</v>
      </c>
      <c r="I78" s="6"/>
      <c r="J78" s="6">
        <v>24.13</v>
      </c>
      <c r="K78" s="6">
        <v>10</v>
      </c>
      <c r="L78" s="6"/>
      <c r="M78" s="6"/>
      <c r="N78" s="6">
        <v>30.17</v>
      </c>
      <c r="O78" s="6"/>
      <c r="P78" s="6"/>
      <c r="Q78" s="6"/>
    </row>
    <row r="79" spans="1:17" ht="15.75" customHeight="1" x14ac:dyDescent="0.2">
      <c r="A79" s="1" t="s">
        <v>140</v>
      </c>
      <c r="B79" s="2" t="s">
        <v>141</v>
      </c>
      <c r="C79" s="2" t="s">
        <v>142</v>
      </c>
      <c r="D79" s="6">
        <v>22.88</v>
      </c>
      <c r="E79" s="6"/>
      <c r="F79" s="6"/>
      <c r="G79" s="6"/>
      <c r="H79" s="6"/>
      <c r="I79" s="6"/>
      <c r="J79" s="6">
        <v>22.88</v>
      </c>
      <c r="K79" s="6"/>
      <c r="L79" s="6">
        <v>22.88</v>
      </c>
      <c r="M79" s="6"/>
      <c r="N79" s="6">
        <v>22.88</v>
      </c>
      <c r="O79" s="6">
        <v>91.53</v>
      </c>
      <c r="P79" s="6"/>
      <c r="Q79" s="6"/>
    </row>
    <row r="80" spans="1:17" ht="15.75" customHeight="1" x14ac:dyDescent="0.2">
      <c r="A80" s="1" t="s">
        <v>143</v>
      </c>
      <c r="B80" s="2" t="s">
        <v>144</v>
      </c>
      <c r="C80" s="2" t="s">
        <v>145</v>
      </c>
      <c r="D80" s="6"/>
      <c r="E80" s="6">
        <v>41.43</v>
      </c>
      <c r="F80" s="6"/>
      <c r="G80" s="6"/>
      <c r="H80" s="6"/>
      <c r="I80" s="6"/>
      <c r="J80" s="6"/>
      <c r="K80" s="6"/>
      <c r="L80" s="6">
        <v>41.43</v>
      </c>
      <c r="M80" s="6"/>
      <c r="N80" s="6"/>
      <c r="O80" s="6"/>
      <c r="P80" s="6"/>
      <c r="Q80" s="6"/>
    </row>
    <row r="81" spans="1:17" ht="15.75" customHeight="1" x14ac:dyDescent="0.2">
      <c r="A81" s="1">
        <v>45391</v>
      </c>
      <c r="B81" s="2" t="s">
        <v>146</v>
      </c>
      <c r="C81" s="2" t="s">
        <v>147</v>
      </c>
      <c r="D81" s="6">
        <v>23.33</v>
      </c>
      <c r="E81" s="6">
        <v>70</v>
      </c>
      <c r="F81" s="6"/>
      <c r="G81" s="6"/>
      <c r="H81" s="6">
        <v>23.33</v>
      </c>
      <c r="I81" s="6"/>
      <c r="J81" s="6">
        <v>23.33</v>
      </c>
      <c r="K81" s="6"/>
      <c r="L81" s="6"/>
      <c r="M81" s="6"/>
      <c r="N81" s="6"/>
      <c r="O81" s="6"/>
      <c r="P81" s="6"/>
      <c r="Q81" s="6"/>
    </row>
    <row r="82" spans="1:17" ht="15.75" customHeight="1" x14ac:dyDescent="0.2">
      <c r="A82" s="1">
        <v>45513</v>
      </c>
      <c r="B82" s="2" t="s">
        <v>148</v>
      </c>
      <c r="C82" s="2" t="s">
        <v>149</v>
      </c>
      <c r="D82" s="6">
        <v>13.02</v>
      </c>
      <c r="E82" s="6"/>
      <c r="F82" s="6"/>
      <c r="G82" s="6"/>
      <c r="H82" s="6"/>
      <c r="I82" s="6">
        <v>13.02</v>
      </c>
      <c r="J82" s="6"/>
      <c r="K82" s="6"/>
      <c r="L82" s="6"/>
      <c r="M82" s="6"/>
      <c r="N82" s="6"/>
      <c r="O82" s="6"/>
      <c r="P82" s="6"/>
      <c r="Q82" s="6"/>
    </row>
    <row r="83" spans="1:17" ht="15.75" customHeight="1" x14ac:dyDescent="0.2">
      <c r="A83" s="1">
        <v>45513</v>
      </c>
      <c r="B83" s="2" t="s">
        <v>150</v>
      </c>
      <c r="C83" s="2" t="s">
        <v>151</v>
      </c>
      <c r="D83" s="6">
        <f>(2.5+19.95)*1.05*1.15</f>
        <v>27.108374999999999</v>
      </c>
      <c r="E83" s="6"/>
      <c r="F83" s="6">
        <f>(35.9/2+0.25)*1.05*1.15+0.019</f>
        <v>21.995499999999996</v>
      </c>
      <c r="G83" s="6"/>
      <c r="H83" s="6">
        <f>(23.5/2+18.95/2+2.5*1.5+18.95/4)*1.05*1.15</f>
        <v>35.877843750000004</v>
      </c>
      <c r="I83" s="6"/>
      <c r="J83" s="6">
        <f>(18.95/2+23.5/2+2.5*0.5+18.95/4)*1.05*1.15</f>
        <v>32.85909375</v>
      </c>
      <c r="K83" s="6"/>
      <c r="L83" s="6">
        <f>(19.95+18.95/4+0.25)*1.05*1.15+0.019</f>
        <v>30.131031249999999</v>
      </c>
      <c r="M83" s="6">
        <v>211.19</v>
      </c>
      <c r="N83" s="6">
        <f>(35.9/2+0.25)*1.05*1.15+0.019</f>
        <v>21.995499999999996</v>
      </c>
      <c r="O83" s="6"/>
      <c r="P83" s="6">
        <f>(26.9+18.95/4+2.5)*1.05*1.15</f>
        <v>41.221031250000003</v>
      </c>
      <c r="Q83" s="6"/>
    </row>
    <row r="84" spans="1:17" ht="15.75" customHeight="1" x14ac:dyDescent="0.2">
      <c r="A84" s="1">
        <v>45555</v>
      </c>
      <c r="B84" s="2" t="s">
        <v>152</v>
      </c>
      <c r="C84" s="2" t="s">
        <v>23</v>
      </c>
      <c r="D84" s="6">
        <v>10</v>
      </c>
      <c r="E84" s="6"/>
      <c r="F84" s="6"/>
      <c r="G84" s="6"/>
      <c r="H84" s="6">
        <v>10</v>
      </c>
      <c r="I84" s="6"/>
      <c r="J84" s="6"/>
      <c r="K84" s="6">
        <v>20</v>
      </c>
      <c r="L84" s="6"/>
      <c r="M84" s="6"/>
      <c r="N84" s="6"/>
      <c r="O84" s="6"/>
      <c r="P84" s="6"/>
      <c r="Q84" s="6"/>
    </row>
    <row r="85" spans="1:17" ht="15.75" customHeight="1" x14ac:dyDescent="0.2">
      <c r="A85" s="1">
        <v>45557</v>
      </c>
      <c r="B85" s="2" t="s">
        <v>153</v>
      </c>
      <c r="C85" s="2" t="s">
        <v>23</v>
      </c>
      <c r="D85" s="6">
        <f>55.6/4</f>
        <v>13.9</v>
      </c>
      <c r="E85" s="6"/>
      <c r="F85" s="6"/>
      <c r="G85" s="6"/>
      <c r="H85" s="6">
        <f>55.6/4</f>
        <v>13.9</v>
      </c>
      <c r="I85" s="6">
        <v>55.6</v>
      </c>
      <c r="J85" s="6">
        <f>55.6/4</f>
        <v>13.9</v>
      </c>
      <c r="K85" s="6"/>
      <c r="L85" s="6">
        <f>55.6/4</f>
        <v>13.9</v>
      </c>
      <c r="M85" s="6"/>
      <c r="N85" s="6"/>
      <c r="O85" s="6"/>
      <c r="P85" s="6"/>
      <c r="Q85" s="6"/>
    </row>
    <row r="86" spans="1:17" ht="15.75" customHeight="1" x14ac:dyDescent="0.2">
      <c r="A86" s="1">
        <v>45563</v>
      </c>
      <c r="B86" s="2" t="s">
        <v>29</v>
      </c>
      <c r="C86" s="2" t="s">
        <v>154</v>
      </c>
      <c r="D86" s="6">
        <f>121.6/4</f>
        <v>30.4</v>
      </c>
      <c r="E86" s="6"/>
      <c r="F86" s="6"/>
      <c r="G86" s="6"/>
      <c r="H86" s="6">
        <v>30.4</v>
      </c>
      <c r="I86" s="6"/>
      <c r="J86" s="6">
        <v>30.4</v>
      </c>
      <c r="K86" s="6"/>
      <c r="L86" s="6"/>
      <c r="M86" s="6"/>
      <c r="N86" s="6">
        <v>30.4</v>
      </c>
      <c r="O86" s="6">
        <v>121.6</v>
      </c>
      <c r="P86" s="6"/>
      <c r="Q86" s="6"/>
    </row>
    <row r="87" spans="1:17" ht="15.75" customHeight="1" x14ac:dyDescent="0.2">
      <c r="A87" s="1">
        <v>45564</v>
      </c>
      <c r="B87" s="2" t="s">
        <v>155</v>
      </c>
      <c r="C87" s="2" t="s">
        <v>83</v>
      </c>
      <c r="D87" s="6">
        <f>(50.85/3)*1.05*1.15</f>
        <v>20.467124999999999</v>
      </c>
      <c r="E87" s="6"/>
      <c r="F87" s="6"/>
      <c r="G87" s="6"/>
      <c r="H87" s="6">
        <f>(50.85/3+3)*1.05*1.15</f>
        <v>24.089625000000002</v>
      </c>
      <c r="I87" s="6">
        <f>65.02</f>
        <v>65.02</v>
      </c>
      <c r="J87" s="6"/>
      <c r="K87" s="6"/>
      <c r="L87" s="6">
        <f>(50.85/3)*1.05*1.15</f>
        <v>20.467124999999999</v>
      </c>
      <c r="M87" s="6"/>
      <c r="N87" s="6"/>
      <c r="O87" s="6"/>
      <c r="P87" s="6"/>
      <c r="Q87" s="6"/>
    </row>
    <row r="88" spans="1:17" ht="15.75" customHeight="1" x14ac:dyDescent="0.2">
      <c r="A88" s="1">
        <v>45570</v>
      </c>
      <c r="B88" s="2" t="s">
        <v>156</v>
      </c>
      <c r="C88" s="2" t="s">
        <v>157</v>
      </c>
      <c r="D88" s="6"/>
      <c r="E88" s="6"/>
      <c r="F88" s="6"/>
      <c r="G88" s="6"/>
      <c r="H88" s="6">
        <v>26.2</v>
      </c>
      <c r="I88" s="6"/>
      <c r="J88" s="6"/>
      <c r="K88" s="6">
        <v>26.2</v>
      </c>
      <c r="L88" s="6"/>
      <c r="M88" s="6"/>
      <c r="N88" s="6"/>
      <c r="O88" s="6"/>
      <c r="P88" s="6"/>
      <c r="Q88" s="6"/>
    </row>
    <row r="89" spans="1:17" ht="15.75" customHeight="1" x14ac:dyDescent="0.2">
      <c r="A89" s="1">
        <v>45577</v>
      </c>
      <c r="B89" s="2" t="s">
        <v>16</v>
      </c>
      <c r="C89" s="2" t="s">
        <v>158</v>
      </c>
      <c r="D89" s="6">
        <f>143.69/6</f>
        <v>23.948333333333334</v>
      </c>
      <c r="E89" s="6"/>
      <c r="F89" s="6">
        <f>143.69/6</f>
        <v>23.948333333333334</v>
      </c>
      <c r="G89" s="6"/>
      <c r="H89" s="6"/>
      <c r="I89" s="6"/>
      <c r="J89" s="6">
        <f>143.69/6</f>
        <v>23.948333333333334</v>
      </c>
      <c r="K89" s="6"/>
      <c r="L89" s="6">
        <f>143.69/6</f>
        <v>23.948333333333334</v>
      </c>
      <c r="M89" s="6"/>
      <c r="N89" s="6">
        <f>143.69/6</f>
        <v>23.948333333333334</v>
      </c>
      <c r="O89" s="6"/>
      <c r="P89" s="6">
        <f>143.69/6</f>
        <v>23.948333333333334</v>
      </c>
      <c r="Q89" s="6">
        <v>143.69</v>
      </c>
    </row>
    <row r="90" spans="1:17" ht="15.75" customHeight="1" x14ac:dyDescent="0.2">
      <c r="A90" s="1">
        <v>45577</v>
      </c>
      <c r="B90" s="2" t="s">
        <v>159</v>
      </c>
      <c r="C90" s="2" t="s">
        <v>160</v>
      </c>
      <c r="D90" s="6">
        <v>17.36</v>
      </c>
      <c r="E90" s="6"/>
      <c r="F90" s="6"/>
      <c r="G90" s="6"/>
      <c r="H90" s="6"/>
      <c r="I90" s="6"/>
      <c r="J90" s="6"/>
      <c r="K90" s="6">
        <v>17.36</v>
      </c>
      <c r="L90" s="6"/>
      <c r="M90" s="6"/>
      <c r="N90" s="6"/>
      <c r="O90" s="6"/>
      <c r="P90" s="6"/>
      <c r="Q90" s="6"/>
    </row>
    <row r="91" spans="1:17" ht="15.75" customHeight="1" x14ac:dyDescent="0.2">
      <c r="A91" s="1">
        <v>45584</v>
      </c>
      <c r="B91" s="2" t="s">
        <v>161</v>
      </c>
      <c r="C91" s="2" t="s">
        <v>162</v>
      </c>
      <c r="D91" s="6">
        <f>23.15</f>
        <v>23.15</v>
      </c>
      <c r="E91" s="6"/>
      <c r="F91" s="6">
        <f>23.15</f>
        <v>23.15</v>
      </c>
      <c r="G91" s="6">
        <f>115.75</f>
        <v>115.75</v>
      </c>
      <c r="H91" s="6">
        <f>23.15</f>
        <v>23.15</v>
      </c>
      <c r="I91" s="6"/>
      <c r="J91" s="6">
        <f>23.15</f>
        <v>23.15</v>
      </c>
      <c r="K91" s="6"/>
      <c r="L91" s="6"/>
      <c r="M91" s="6"/>
      <c r="N91" s="6">
        <f>23.15</f>
        <v>23.15</v>
      </c>
      <c r="O91" s="6"/>
      <c r="P91" s="6"/>
      <c r="Q91" s="6"/>
    </row>
    <row r="92" spans="1:17" ht="15.75" customHeight="1" x14ac:dyDescent="0.2">
      <c r="A92" s="1">
        <v>45626</v>
      </c>
      <c r="B92" s="2" t="s">
        <v>163</v>
      </c>
      <c r="C92" s="2" t="s">
        <v>83</v>
      </c>
      <c r="D92" s="6">
        <f>(18.5+2.75)*1.05*1.15</f>
        <v>25.659374999999997</v>
      </c>
      <c r="E92" s="6"/>
      <c r="F92" s="6">
        <f>9.5*1.05*1.15</f>
        <v>11.47125</v>
      </c>
      <c r="G92" s="6"/>
      <c r="H92" s="6">
        <f>(19+2.75+2.75)*1.05*1.15</f>
        <v>29.583749999999998</v>
      </c>
      <c r="I92" s="6">
        <f>112.54</f>
        <v>112.54</v>
      </c>
      <c r="J92" s="6">
        <f>19*1.05*1.15</f>
        <v>22.942499999999999</v>
      </c>
      <c r="K92" s="6"/>
      <c r="L92" s="6"/>
      <c r="M92" s="6"/>
      <c r="N92" s="6">
        <f>18.95*1.05*1.15</f>
        <v>22.882124999999998</v>
      </c>
      <c r="O92" s="6"/>
      <c r="P92" s="6"/>
      <c r="Q92" s="6"/>
    </row>
    <row r="93" spans="1:17" ht="15.75" customHeight="1" x14ac:dyDescent="0.2">
      <c r="A93" s="1">
        <v>45628</v>
      </c>
      <c r="B93" s="2" t="s">
        <v>164</v>
      </c>
      <c r="C93" s="2" t="s">
        <v>23</v>
      </c>
      <c r="D93" s="6"/>
      <c r="E93" s="6"/>
      <c r="F93" s="6"/>
      <c r="G93" s="6"/>
      <c r="H93" s="6"/>
      <c r="I93" s="6"/>
      <c r="J93" s="6"/>
      <c r="K93" s="6">
        <v>7.91</v>
      </c>
      <c r="L93" s="6"/>
      <c r="M93" s="6"/>
      <c r="N93" s="6">
        <v>7.91</v>
      </c>
      <c r="O93" s="6"/>
      <c r="P93" s="6"/>
      <c r="Q93" s="6"/>
    </row>
    <row r="94" spans="1:17" ht="15.75" customHeight="1" x14ac:dyDescent="0.2">
      <c r="A94" s="1">
        <v>45634</v>
      </c>
      <c r="B94" s="2" t="s">
        <v>165</v>
      </c>
      <c r="C94" s="2" t="s">
        <v>166</v>
      </c>
      <c r="D94" s="6">
        <v>26.25</v>
      </c>
      <c r="E94" s="6">
        <v>110</v>
      </c>
      <c r="F94" s="6">
        <v>27.02</v>
      </c>
      <c r="G94" s="6"/>
      <c r="H94" s="6">
        <v>30.48</v>
      </c>
      <c r="I94" s="6"/>
      <c r="J94" s="6">
        <v>26.25</v>
      </c>
      <c r="K94" s="6"/>
      <c r="L94" s="6"/>
      <c r="M94" s="6"/>
      <c r="N94" s="6"/>
      <c r="O94" s="6"/>
      <c r="P94" s="6"/>
      <c r="Q94" s="6"/>
    </row>
    <row r="95" spans="1:17" ht="15.75" customHeight="1" x14ac:dyDescent="0.2">
      <c r="A95" s="1">
        <v>45634</v>
      </c>
      <c r="B95" s="2" t="s">
        <v>167</v>
      </c>
      <c r="C95" s="2" t="s">
        <v>23</v>
      </c>
      <c r="D95" s="6">
        <f>265.83/7</f>
        <v>37.975714285714282</v>
      </c>
      <c r="E95" s="6"/>
      <c r="F95" s="6">
        <f>265.83/7</f>
        <v>37.975714285714282</v>
      </c>
      <c r="G95" s="6"/>
      <c r="H95" s="6">
        <f>265.83/7</f>
        <v>37.975714285714282</v>
      </c>
      <c r="I95" s="6"/>
      <c r="J95" s="6">
        <f>265.83/7</f>
        <v>37.975714285714282</v>
      </c>
      <c r="K95" s="6">
        <f>265.83</f>
        <v>265.83</v>
      </c>
      <c r="L95" s="6">
        <f>265.83/7</f>
        <v>37.975714285714282</v>
      </c>
      <c r="M95" s="6"/>
      <c r="N95" s="6">
        <f>265.83/7</f>
        <v>37.975714285714282</v>
      </c>
      <c r="O95" s="6"/>
      <c r="P95" s="6">
        <f>265.83/7</f>
        <v>37.975714285714282</v>
      </c>
      <c r="Q95" s="6"/>
    </row>
    <row r="96" spans="1:17" ht="15.75" customHeight="1" x14ac:dyDescent="0.2">
      <c r="A96" s="1">
        <v>45648</v>
      </c>
      <c r="B96" s="2" t="s">
        <v>168</v>
      </c>
      <c r="C96" s="2" t="s">
        <v>169</v>
      </c>
      <c r="D96" s="6">
        <f>(16.95+8.95)*1.15</f>
        <v>29.784999999999997</v>
      </c>
      <c r="E96" s="6"/>
      <c r="F96" s="6"/>
      <c r="G96" s="6"/>
      <c r="H96" s="6">
        <f>(35.1/2+9.95/3)*1.15</f>
        <v>23.996666666666666</v>
      </c>
      <c r="I96" s="6"/>
      <c r="J96" s="6">
        <f>(16.95+9.95/3)*1.15</f>
        <v>23.306666666666665</v>
      </c>
      <c r="K96" s="6"/>
      <c r="L96" s="6">
        <f>(35.1/2)*1.15</f>
        <v>20.182500000000001</v>
      </c>
      <c r="M96" s="6">
        <v>122.88</v>
      </c>
      <c r="N96" s="6">
        <f>(18.95+9.95/3)*1.15</f>
        <v>25.606666666666662</v>
      </c>
      <c r="O96" s="6"/>
      <c r="P96" s="6"/>
      <c r="Q96" s="6"/>
    </row>
    <row r="97" spans="1:17" ht="15.75" customHeight="1" x14ac:dyDescent="0.2">
      <c r="A97" s="1">
        <v>45654</v>
      </c>
      <c r="B97" s="2" t="s">
        <v>170</v>
      </c>
      <c r="C97" s="2" t="s">
        <v>171</v>
      </c>
      <c r="D97" s="6">
        <f>22.5*1.15</f>
        <v>25.874999999999996</v>
      </c>
      <c r="E97" s="6"/>
      <c r="F97" s="6">
        <f>25.95*1.15</f>
        <v>29.842499999999998</v>
      </c>
      <c r="G97" s="6"/>
      <c r="H97" s="6">
        <f>(16.75+17.75)*1.15</f>
        <v>39.674999999999997</v>
      </c>
      <c r="I97" s="6"/>
      <c r="J97" s="6">
        <f>16.25*1.15</f>
        <v>18.6875</v>
      </c>
      <c r="K97" s="6"/>
      <c r="L97" s="6">
        <f>22.5*1.15</f>
        <v>25.874999999999996</v>
      </c>
      <c r="M97" s="6"/>
      <c r="N97" s="6"/>
      <c r="O97" s="6"/>
      <c r="P97" s="6">
        <f>(16.5+1.5)*1.15</f>
        <v>20.7</v>
      </c>
      <c r="Q97" s="6">
        <v>160.78</v>
      </c>
    </row>
    <row r="98" spans="1:17" ht="15.75" customHeight="1" x14ac:dyDescent="0.2">
      <c r="A98" s="1">
        <v>45656</v>
      </c>
      <c r="B98" s="2" t="s">
        <v>172</v>
      </c>
      <c r="C98" s="2" t="s">
        <v>23</v>
      </c>
      <c r="D98" s="6"/>
      <c r="E98" s="6"/>
      <c r="F98" s="6"/>
      <c r="G98" s="6"/>
      <c r="H98" s="6">
        <v>6.79</v>
      </c>
      <c r="I98" s="6"/>
      <c r="J98" s="6"/>
      <c r="K98" s="6"/>
      <c r="L98" s="6"/>
      <c r="M98" s="6">
        <v>6.79</v>
      </c>
      <c r="N98" s="6"/>
      <c r="O98" s="6"/>
      <c r="P98" s="6"/>
      <c r="Q98" s="6"/>
    </row>
    <row r="99" spans="1:17" ht="15.75" customHeight="1" x14ac:dyDescent="0.2">
      <c r="A99" s="1">
        <v>45656</v>
      </c>
      <c r="B99" s="2" t="s">
        <v>45</v>
      </c>
      <c r="C99" s="2" t="s">
        <v>173</v>
      </c>
      <c r="D99" s="6">
        <f>45.27/5</f>
        <v>9.0540000000000003</v>
      </c>
      <c r="E99" s="6"/>
      <c r="F99" s="6">
        <f>45.27/5</f>
        <v>9.0540000000000003</v>
      </c>
      <c r="G99" s="6"/>
      <c r="H99" s="6">
        <f>45.27/5</f>
        <v>9.0540000000000003</v>
      </c>
      <c r="I99" s="6"/>
      <c r="J99" s="6">
        <f>45.27/5</f>
        <v>9.0540000000000003</v>
      </c>
      <c r="K99" s="6">
        <v>45.27</v>
      </c>
      <c r="L99" s="6"/>
      <c r="M99" s="6"/>
      <c r="N99" s="6"/>
      <c r="O99" s="6"/>
      <c r="P99" s="6">
        <f>45.27/5</f>
        <v>9.0540000000000003</v>
      </c>
      <c r="Q99" s="6"/>
    </row>
    <row r="100" spans="1:17" ht="15.75" customHeight="1" x14ac:dyDescent="0.2">
      <c r="A100" s="1">
        <v>45668</v>
      </c>
      <c r="B100" s="2" t="s">
        <v>174</v>
      </c>
      <c r="C100" s="2" t="s">
        <v>175</v>
      </c>
      <c r="D100" s="6">
        <v>23.33</v>
      </c>
      <c r="E100" s="6">
        <v>70</v>
      </c>
      <c r="F100" s="6"/>
      <c r="G100" s="6"/>
      <c r="H100" s="6">
        <v>23.33</v>
      </c>
      <c r="I100" s="6"/>
      <c r="J100" s="6">
        <v>23.33</v>
      </c>
      <c r="K100" s="6"/>
      <c r="L100" s="6"/>
      <c r="M100" s="6"/>
      <c r="N100" s="6"/>
      <c r="O100" s="6"/>
      <c r="P100" s="6"/>
      <c r="Q100" s="6"/>
    </row>
    <row r="101" spans="1:17" ht="15.75" customHeight="1" x14ac:dyDescent="0.2">
      <c r="A101" s="1">
        <v>45696</v>
      </c>
      <c r="B101" s="2" t="s">
        <v>176</v>
      </c>
      <c r="C101" s="2" t="s">
        <v>177</v>
      </c>
      <c r="D101" s="6">
        <f>40/3</f>
        <v>13.333333333333334</v>
      </c>
      <c r="E101" s="6"/>
      <c r="F101" s="6"/>
      <c r="G101" s="6"/>
      <c r="H101" s="6"/>
      <c r="I101" s="6"/>
      <c r="J101" s="6">
        <f>40/3</f>
        <v>13.333333333333334</v>
      </c>
      <c r="K101" s="6">
        <v>40</v>
      </c>
      <c r="L101" s="6"/>
      <c r="M101" s="6"/>
      <c r="N101" s="6">
        <f>40/3</f>
        <v>13.333333333333334</v>
      </c>
      <c r="O101" s="6"/>
      <c r="P101" s="6"/>
      <c r="Q101" s="6"/>
    </row>
    <row r="102" spans="1:17" ht="15.75" customHeight="1" x14ac:dyDescent="0.2">
      <c r="A102" s="1">
        <v>45718</v>
      </c>
      <c r="B102" s="2" t="s">
        <v>178</v>
      </c>
      <c r="C102" s="2" t="s">
        <v>23</v>
      </c>
      <c r="D102" s="6">
        <f>(17/64)*74.2</f>
        <v>19.709375000000001</v>
      </c>
      <c r="E102" s="6">
        <v>74.2</v>
      </c>
      <c r="F102" s="6"/>
      <c r="G102" s="6"/>
      <c r="H102" s="6">
        <f>(17+13/2)/64*74.2</f>
        <v>27.245312500000001</v>
      </c>
      <c r="I102" s="6"/>
      <c r="J102" s="6">
        <f>(17+13/2)/64*74.2</f>
        <v>27.245312500000001</v>
      </c>
      <c r="K102" s="6"/>
      <c r="L102" s="6"/>
      <c r="M102" s="6"/>
      <c r="N102" s="6"/>
      <c r="O102" s="6"/>
      <c r="P102" s="6"/>
      <c r="Q102" s="6"/>
    </row>
    <row r="103" spans="1:17" ht="15.75" customHeight="1" x14ac:dyDescent="0.2">
      <c r="A103" s="1">
        <v>45752</v>
      </c>
      <c r="B103" s="2" t="s">
        <v>179</v>
      </c>
      <c r="C103" s="2" t="s">
        <v>180</v>
      </c>
      <c r="D103" s="6">
        <f>(19+7)*(161.17/132.9)</f>
        <v>31.530624529721589</v>
      </c>
      <c r="E103" s="6"/>
      <c r="F103" s="6"/>
      <c r="G103" s="6"/>
      <c r="H103" s="6">
        <f>(6+7+17)*(161.17/132.9)</f>
        <v>36.381489841986451</v>
      </c>
      <c r="I103" s="6">
        <v>161.16999999999999</v>
      </c>
      <c r="J103" s="6">
        <f>(37.9/2+6+12/2)*(161.17/132.9)</f>
        <v>37.533570353649353</v>
      </c>
      <c r="K103" s="6"/>
      <c r="L103" s="6">
        <f>(37.9/2)*(161.17/132.9)</f>
        <v>22.980974416854774</v>
      </c>
      <c r="M103" s="6"/>
      <c r="N103" s="6">
        <f>(3+18+12/2)*(161.17/132.9)</f>
        <v>32.743340857787807</v>
      </c>
      <c r="O103" s="6"/>
      <c r="P103" s="6"/>
      <c r="Q103" s="6"/>
    </row>
    <row r="104" spans="1:17" ht="15.75" customHeight="1" x14ac:dyDescent="0.2">
      <c r="A104" s="1">
        <v>45755</v>
      </c>
      <c r="B104" s="2" t="s">
        <v>45</v>
      </c>
      <c r="C104" s="2" t="s">
        <v>181</v>
      </c>
      <c r="D104" s="6"/>
      <c r="E104" s="6"/>
      <c r="F104" s="6"/>
      <c r="G104" s="6"/>
      <c r="H104" s="6"/>
      <c r="I104" s="6"/>
      <c r="J104" s="6"/>
      <c r="K104" s="6">
        <v>47.82</v>
      </c>
      <c r="L104" s="6"/>
      <c r="M104" s="6"/>
      <c r="N104" s="6">
        <v>47.82</v>
      </c>
      <c r="O104" s="6"/>
      <c r="P104" s="6"/>
      <c r="Q104" s="6"/>
    </row>
    <row r="105" spans="1:17" ht="15.75" customHeight="1" x14ac:dyDescent="0.2">
      <c r="A105" s="1">
        <v>45780</v>
      </c>
      <c r="B105" s="2" t="s">
        <v>182</v>
      </c>
      <c r="C105" s="2" t="s">
        <v>183</v>
      </c>
      <c r="D105" s="6">
        <f>17.5*(80/65.5)</f>
        <v>21.374045801526719</v>
      </c>
      <c r="E105" s="6">
        <v>80</v>
      </c>
      <c r="F105" s="6"/>
      <c r="G105" s="6"/>
      <c r="H105" s="6">
        <f>(17.5+3+8)*(80/65.5)</f>
        <v>34.809160305343511</v>
      </c>
      <c r="I105" s="6"/>
      <c r="J105" s="6"/>
      <c r="K105" s="6"/>
      <c r="L105" s="6">
        <f>19.5*(80/65.5)</f>
        <v>23.816793893129773</v>
      </c>
      <c r="M105" s="6"/>
      <c r="N105" s="6"/>
      <c r="O105" s="6"/>
      <c r="P105" s="6"/>
      <c r="Q105" s="6"/>
    </row>
    <row r="106" spans="1:17" ht="15.75" customHeight="1" x14ac:dyDescent="0.2">
      <c r="A106" s="1">
        <v>45794</v>
      </c>
      <c r="B106" s="2" t="s">
        <v>184</v>
      </c>
      <c r="C106" s="2" t="s">
        <v>185</v>
      </c>
      <c r="D106" s="6">
        <f>20.5*(95/78.9)</f>
        <v>24.683143219264892</v>
      </c>
      <c r="E106" s="6"/>
      <c r="F106" s="6"/>
      <c r="G106" s="6"/>
      <c r="H106" s="6">
        <f>(20.5+2.5)*(95/78.9)</f>
        <v>27.693282636248416</v>
      </c>
      <c r="I106" s="6"/>
      <c r="J106" s="6">
        <f>2.5*(95/78.9)</f>
        <v>3.0101394169835234</v>
      </c>
      <c r="K106" s="6"/>
      <c r="L106" s="6">
        <f>16.95*(95/78.9)</f>
        <v>20.408745247148286</v>
      </c>
      <c r="M106" s="6">
        <v>95</v>
      </c>
      <c r="N106" s="6">
        <f>15.95*(95/78.9)</f>
        <v>19.204689480354876</v>
      </c>
      <c r="O106" s="6"/>
      <c r="P106" s="6"/>
      <c r="Q106" s="6"/>
    </row>
    <row r="107" spans="1:17" ht="15.75" customHeight="1" x14ac:dyDescent="0.2">
      <c r="A107" s="1">
        <v>45794</v>
      </c>
      <c r="B107" s="2" t="s">
        <v>186</v>
      </c>
      <c r="C107" s="2" t="s">
        <v>187</v>
      </c>
      <c r="D107" s="6">
        <f>92.5/5</f>
        <v>18.5</v>
      </c>
      <c r="E107" s="6"/>
      <c r="F107" s="6"/>
      <c r="G107" s="6"/>
      <c r="H107" s="6">
        <f>92.5/5</f>
        <v>18.5</v>
      </c>
      <c r="I107" s="6"/>
      <c r="J107" s="6">
        <f>92.5/5</f>
        <v>18.5</v>
      </c>
      <c r="K107" s="6"/>
      <c r="L107" s="6">
        <f>92.5/5</f>
        <v>18.5</v>
      </c>
      <c r="M107" s="6"/>
      <c r="N107" s="6">
        <f>92.5/5</f>
        <v>18.5</v>
      </c>
      <c r="O107" s="6">
        <f>92.5</f>
        <v>92.5</v>
      </c>
      <c r="P107" s="6"/>
      <c r="Q107" s="6"/>
    </row>
    <row r="108" spans="1:17" ht="15.75" customHeight="1" x14ac:dyDescent="0.2">
      <c r="A108" s="1">
        <v>45801</v>
      </c>
      <c r="B108" s="2" t="s">
        <v>188</v>
      </c>
      <c r="C108" s="2" t="s">
        <v>189</v>
      </c>
      <c r="D108" s="6">
        <f>50.93+(24.9*0.43)</f>
        <v>61.637</v>
      </c>
      <c r="E108" s="6"/>
      <c r="F108" s="6"/>
      <c r="G108" s="6"/>
      <c r="H108" s="6">
        <f>67.91+(24.9*0.57)</f>
        <v>82.102999999999994</v>
      </c>
      <c r="I108" s="6"/>
      <c r="J108" s="6"/>
      <c r="K108" s="6">
        <f>50.93+67.91+24.9</f>
        <v>143.74</v>
      </c>
      <c r="L108" s="6"/>
      <c r="M108" s="6"/>
      <c r="N108" s="6"/>
      <c r="O108" s="6"/>
      <c r="P108" s="6"/>
      <c r="Q108" s="6"/>
    </row>
    <row r="109" spans="1:17" ht="15.75" customHeight="1" x14ac:dyDescent="0.2">
      <c r="A109" s="1">
        <v>45871</v>
      </c>
      <c r="B109" s="2" t="s">
        <v>16</v>
      </c>
      <c r="C109" s="2" t="s">
        <v>23</v>
      </c>
      <c r="D109" s="6">
        <f>114.71/5</f>
        <v>22.942</v>
      </c>
      <c r="E109" s="6"/>
      <c r="F109" s="6">
        <f>114.71/5</f>
        <v>22.942</v>
      </c>
      <c r="G109" s="6"/>
      <c r="H109" s="6">
        <f>114.71/5</f>
        <v>22.942</v>
      </c>
      <c r="I109" s="6">
        <f>114.71</f>
        <v>114.71</v>
      </c>
      <c r="J109" s="6"/>
      <c r="K109" s="6"/>
      <c r="L109" s="6">
        <f>114.71/5</f>
        <v>22.942</v>
      </c>
      <c r="M109" s="6"/>
      <c r="N109" s="6">
        <f>114.71/5</f>
        <v>22.942</v>
      </c>
      <c r="O109" s="6"/>
      <c r="P109" s="6"/>
      <c r="Q109" s="6"/>
    </row>
    <row r="110" spans="1:17" ht="15.75" customHeight="1" x14ac:dyDescent="0.2">
      <c r="A110" s="1">
        <v>45872</v>
      </c>
      <c r="B110" s="2" t="s">
        <v>190</v>
      </c>
      <c r="C110" s="2" t="s">
        <v>191</v>
      </c>
      <c r="D110" s="6">
        <f>134.95/5*(1+0.05)*(1+(171.97-149.54)/149.54)</f>
        <v>32.59023548883242</v>
      </c>
      <c r="E110" s="6"/>
      <c r="F110" s="6">
        <f>134.95/5*(1+0.05)*(1+(171.97-149.54)/149.54)</f>
        <v>32.59023548883242</v>
      </c>
      <c r="G110" s="6"/>
      <c r="H110" s="6">
        <f>134.95/5*(1+0.05)*(1+(171.97-149.54)/149.54)+9.02/2</f>
        <v>37.100235488832418</v>
      </c>
      <c r="I110" s="6"/>
      <c r="J110" s="6"/>
      <c r="K110" s="6"/>
      <c r="L110" s="6">
        <f>134.95/5*(1+0.05)*(1+(171.97-149.54)/149.54)+9.02/2</f>
        <v>37.100235488832418</v>
      </c>
      <c r="M110" s="6"/>
      <c r="N110" s="6">
        <f>134.95/5*(1+0.05)*(1+(171.97-149.54)/149.54)</f>
        <v>32.59023548883242</v>
      </c>
      <c r="O110" s="6">
        <v>171.97</v>
      </c>
      <c r="P110" s="6"/>
      <c r="Q110" s="6"/>
    </row>
    <row r="111" spans="1:17" ht="15.75" customHeight="1" x14ac:dyDescent="0.2">
      <c r="A111" s="1">
        <v>45885</v>
      </c>
      <c r="B111" s="2" t="s">
        <v>192</v>
      </c>
      <c r="C111" s="2" t="s">
        <v>23</v>
      </c>
      <c r="D111" s="6">
        <f>34/3*2</f>
        <v>22.666666666666668</v>
      </c>
      <c r="E111" s="6"/>
      <c r="F111" s="6"/>
      <c r="G111" s="6"/>
      <c r="H111" s="6"/>
      <c r="I111" s="6"/>
      <c r="J111" s="6">
        <f>34/3</f>
        <v>11.333333333333334</v>
      </c>
      <c r="K111" s="6">
        <f>50-16</f>
        <v>34</v>
      </c>
      <c r="L111" s="6"/>
      <c r="M111" s="6"/>
      <c r="N111" s="6"/>
      <c r="O111" s="6"/>
      <c r="P111" s="6"/>
      <c r="Q111" s="6"/>
    </row>
    <row r="112" spans="1:17" ht="15.75" customHeight="1" x14ac:dyDescent="0.2">
      <c r="A112" s="1">
        <v>45893</v>
      </c>
      <c r="B112" s="2" t="s">
        <v>193</v>
      </c>
      <c r="C112" s="2" t="s">
        <v>194</v>
      </c>
      <c r="D112" s="6">
        <f>14/4</f>
        <v>3.5</v>
      </c>
      <c r="E112" s="6"/>
      <c r="F112" s="6"/>
      <c r="G112" s="6"/>
      <c r="H112" s="6">
        <f>14/4</f>
        <v>3.5</v>
      </c>
      <c r="I112" s="6">
        <f>14</f>
        <v>14</v>
      </c>
      <c r="J112" s="6"/>
      <c r="K112" s="6"/>
      <c r="L112" s="6">
        <f>14/4</f>
        <v>3.5</v>
      </c>
      <c r="M112" s="6"/>
      <c r="N112" s="6">
        <f>14/4</f>
        <v>3.5</v>
      </c>
      <c r="O112" s="6"/>
      <c r="P112" s="6"/>
      <c r="Q112" s="6"/>
    </row>
    <row r="113" spans="1:17" ht="15.75" customHeight="1" x14ac:dyDescent="0.2">
      <c r="A113" s="1">
        <v>45893</v>
      </c>
      <c r="B113" s="2" t="s">
        <v>107</v>
      </c>
      <c r="C113" s="2" t="s">
        <v>195</v>
      </c>
      <c r="D113" s="6">
        <f>52.4/4</f>
        <v>13.1</v>
      </c>
      <c r="E113" s="6"/>
      <c r="F113" s="6"/>
      <c r="G113" s="6"/>
      <c r="H113" s="6">
        <f>52.4/4</f>
        <v>13.1</v>
      </c>
      <c r="I113" s="6"/>
      <c r="J113" s="6"/>
      <c r="K113" s="6"/>
      <c r="L113" s="6">
        <f>52.4/4</f>
        <v>13.1</v>
      </c>
      <c r="M113" s="6"/>
      <c r="N113" s="6">
        <f>52.4/4</f>
        <v>13.1</v>
      </c>
      <c r="O113" s="6">
        <f>52.4</f>
        <v>52.4</v>
      </c>
      <c r="P113" s="6"/>
      <c r="Q113" s="6"/>
    </row>
    <row r="114" spans="1:17" ht="15.75" customHeight="1" x14ac:dyDescent="0.2">
      <c r="A114" s="1">
        <v>45893</v>
      </c>
      <c r="B114" s="2" t="s">
        <v>196</v>
      </c>
      <c r="C114" s="2" t="s">
        <v>197</v>
      </c>
      <c r="D114" s="6"/>
      <c r="E114" s="6"/>
      <c r="F114" s="6"/>
      <c r="G114" s="6"/>
      <c r="H114" s="6"/>
      <c r="I114" s="6"/>
      <c r="J114" s="6"/>
      <c r="K114" s="6"/>
      <c r="L114" s="6">
        <f>48/2</f>
        <v>24</v>
      </c>
      <c r="M114" s="6"/>
      <c r="N114" s="6">
        <f>48/2</f>
        <v>24</v>
      </c>
      <c r="O114" s="6">
        <f>48</f>
        <v>48</v>
      </c>
      <c r="P114" s="6"/>
      <c r="Q114" s="6"/>
    </row>
    <row r="115" spans="1:17" ht="15.75" customHeight="1" x14ac:dyDescent="0.2">
      <c r="A115" s="1">
        <v>45900</v>
      </c>
      <c r="B115" s="2" t="s">
        <v>198</v>
      </c>
      <c r="C115" s="2" t="s">
        <v>23</v>
      </c>
      <c r="D115" s="6">
        <f>364/5</f>
        <v>72.8</v>
      </c>
      <c r="E115" s="6"/>
      <c r="F115" s="6"/>
      <c r="G115" s="6"/>
      <c r="H115" s="6">
        <f>364/5</f>
        <v>72.8</v>
      </c>
      <c r="I115" s="6"/>
      <c r="J115" s="6">
        <f>364/5</f>
        <v>72.8</v>
      </c>
      <c r="K115" s="6">
        <f>364</f>
        <v>364</v>
      </c>
      <c r="L115" s="6">
        <f>364/5</f>
        <v>72.8</v>
      </c>
      <c r="M115" s="6"/>
      <c r="N115" s="6">
        <f>364/5</f>
        <v>72.8</v>
      </c>
      <c r="O115" s="6"/>
      <c r="P115" s="6"/>
      <c r="Q115" s="6"/>
    </row>
    <row r="116" spans="1:17" ht="15.75" customHeight="1" x14ac:dyDescent="0.2">
      <c r="A116" s="1">
        <v>45900</v>
      </c>
      <c r="B116" s="2" t="s">
        <v>73</v>
      </c>
      <c r="C116" s="2" t="s">
        <v>23</v>
      </c>
      <c r="D116" s="6">
        <f>160/6</f>
        <v>26.666666666666668</v>
      </c>
      <c r="E116" s="6">
        <f>160</f>
        <v>160</v>
      </c>
      <c r="F116" s="6"/>
      <c r="G116" s="6"/>
      <c r="H116" s="6">
        <f>160/6</f>
        <v>26.666666666666668</v>
      </c>
      <c r="I116" s="6"/>
      <c r="J116" s="6">
        <f>160/6</f>
        <v>26.666666666666668</v>
      </c>
      <c r="K116" s="6"/>
      <c r="L116" s="6">
        <f>160/6</f>
        <v>26.666666666666668</v>
      </c>
      <c r="M116" s="6"/>
      <c r="N116" s="6">
        <f>160/6</f>
        <v>26.666666666666668</v>
      </c>
      <c r="O116" s="6"/>
      <c r="P116" s="6">
        <f>160/6</f>
        <v>26.666666666666668</v>
      </c>
      <c r="Q116" s="6"/>
    </row>
    <row r="117" spans="1:17" ht="15.75" customHeight="1" x14ac:dyDescent="0.2">
      <c r="A117" s="1">
        <v>45907</v>
      </c>
      <c r="B117" s="2" t="s">
        <v>94</v>
      </c>
      <c r="C117" s="2" t="s">
        <v>23</v>
      </c>
      <c r="D117" s="6">
        <f>(18.5+2.75)*1.05*1.15</f>
        <v>25.659374999999997</v>
      </c>
      <c r="E117" s="6"/>
      <c r="F117" s="6"/>
      <c r="G117" s="6"/>
      <c r="H117" s="6"/>
      <c r="I117" s="6"/>
      <c r="J117" s="6">
        <f>18.5*1.05*1.15</f>
        <v>22.338749999999997</v>
      </c>
      <c r="K117" s="6"/>
      <c r="L117" s="6">
        <f>19*1.05*1.15</f>
        <v>22.942499999999999</v>
      </c>
      <c r="M117" s="6"/>
      <c r="N117" s="6">
        <f>(2.75+18.95)*1.05*1.15</f>
        <v>26.202749999999998</v>
      </c>
      <c r="O117" s="6">
        <v>120.69</v>
      </c>
      <c r="P117" s="6">
        <f>19.5*1.05*1.15</f>
        <v>23.546250000000001</v>
      </c>
      <c r="Q117" s="6"/>
    </row>
    <row r="118" spans="1:17" ht="15.75" customHeight="1" x14ac:dyDescent="0.2">
      <c r="A118" s="1">
        <v>45908</v>
      </c>
      <c r="B118" s="2" t="s">
        <v>199</v>
      </c>
      <c r="C118" s="2"/>
      <c r="D118" s="6">
        <v>254.72</v>
      </c>
      <c r="E118" s="6"/>
      <c r="F118" s="6"/>
      <c r="G118" s="6"/>
      <c r="H118" s="6"/>
      <c r="I118" s="6"/>
      <c r="J118" s="6"/>
      <c r="K118" s="6">
        <v>254.72</v>
      </c>
      <c r="L118" s="6"/>
      <c r="M118" s="6"/>
      <c r="N118" s="6"/>
      <c r="O118" s="6"/>
      <c r="P118" s="6"/>
      <c r="Q118" s="6"/>
    </row>
    <row r="119" spans="1:17" ht="15.75" customHeight="1" x14ac:dyDescent="0.2">
      <c r="A119" s="1">
        <v>45935</v>
      </c>
      <c r="B119" s="2" t="s">
        <v>128</v>
      </c>
      <c r="C119" s="2" t="s">
        <v>200</v>
      </c>
      <c r="D119" s="6">
        <f>21*(1+(102-88.47)/88.47)</f>
        <v>24.211597151576807</v>
      </c>
      <c r="E119" s="6">
        <v>102</v>
      </c>
      <c r="F119" s="6"/>
      <c r="G119" s="6"/>
      <c r="H119" s="6">
        <f>26.51*(1+(102-88.47)/88.47)</f>
        <v>30.564259070871486</v>
      </c>
      <c r="I119" s="6"/>
      <c r="J119" s="6"/>
      <c r="K119" s="6"/>
      <c r="L119" s="6">
        <f>21.53*(1+(102-88.47)/88.47)</f>
        <v>24.822651746354701</v>
      </c>
      <c r="M119" s="6"/>
      <c r="N119" s="6">
        <f>19.43*(1+(102-88.47)/88.47)</f>
        <v>22.401492031197019</v>
      </c>
      <c r="O119" s="6"/>
      <c r="P119" s="6"/>
      <c r="Q119" s="6"/>
    </row>
    <row r="120" spans="1:17" ht="15.75" customHeight="1" x14ac:dyDescent="0.2">
      <c r="A120" s="1">
        <v>45947</v>
      </c>
      <c r="B120" s="2" t="s">
        <v>201</v>
      </c>
      <c r="C120" s="2" t="s">
        <v>202</v>
      </c>
      <c r="D120" s="6"/>
      <c r="E120" s="6"/>
      <c r="F120" s="6"/>
      <c r="G120" s="6"/>
      <c r="H120" s="6"/>
      <c r="I120" s="6"/>
      <c r="J120" s="6"/>
      <c r="K120" s="6">
        <f t="shared" ref="K120:L120" si="1">11.19+2.44</f>
        <v>13.629999999999999</v>
      </c>
      <c r="L120" s="6">
        <f t="shared" si="1"/>
        <v>13.629999999999999</v>
      </c>
      <c r="M120" s="6"/>
      <c r="N120" s="6"/>
      <c r="O120" s="6"/>
      <c r="P120" s="6"/>
      <c r="Q120" s="6"/>
    </row>
    <row r="121" spans="1:17" ht="15.75" customHeight="1" x14ac:dyDescent="0.2">
      <c r="A121" s="1">
        <v>45977</v>
      </c>
      <c r="B121" s="2" t="s">
        <v>203</v>
      </c>
      <c r="C121" s="2" t="s">
        <v>204</v>
      </c>
      <c r="D121" s="6">
        <f>13.99*(62/54)*1.05</f>
        <v>16.865722222222225</v>
      </c>
      <c r="E121" s="6">
        <v>60</v>
      </c>
      <c r="F121" s="6"/>
      <c r="G121" s="6"/>
      <c r="H121" s="6">
        <f>(3.5+15.99)*(62/54)*1.05</f>
        <v>23.496277777777781</v>
      </c>
      <c r="I121" s="6">
        <v>2</v>
      </c>
      <c r="J121" s="6"/>
      <c r="K121" s="6"/>
      <c r="L121" s="6"/>
      <c r="M121" s="6"/>
      <c r="N121" s="6">
        <f>17.95*(62/54)*1.05</f>
        <v>21.639722222222222</v>
      </c>
      <c r="O121" s="6"/>
      <c r="P121" s="6"/>
      <c r="Q121" s="6"/>
    </row>
    <row r="122" spans="1:17" ht="15.75" customHeight="1" x14ac:dyDescent="0.2">
      <c r="A122" s="1">
        <v>45985</v>
      </c>
      <c r="B122" s="2" t="s">
        <v>205</v>
      </c>
      <c r="C122" s="2" t="s">
        <v>206</v>
      </c>
      <c r="D122" s="6"/>
      <c r="E122" s="6"/>
      <c r="F122" s="6"/>
      <c r="G122" s="6"/>
      <c r="H122" s="6"/>
      <c r="I122" s="6"/>
      <c r="J122" s="6"/>
      <c r="K122" s="6">
        <v>98.71</v>
      </c>
      <c r="L122" s="6"/>
      <c r="M122" s="6"/>
      <c r="N122" s="6"/>
      <c r="O122" s="6"/>
      <c r="P122" s="6">
        <v>98.71</v>
      </c>
      <c r="Q122" s="6"/>
    </row>
    <row r="123" spans="1:17" ht="15.75" customHeight="1" x14ac:dyDescent="0.2">
      <c r="A123" s="1">
        <v>45986</v>
      </c>
      <c r="B123" s="2" t="s">
        <v>207</v>
      </c>
      <c r="C123" s="2"/>
      <c r="D123" s="6"/>
      <c r="E123" s="6"/>
      <c r="F123" s="6"/>
      <c r="G123" s="6"/>
      <c r="H123" s="6"/>
      <c r="I123" s="6"/>
      <c r="J123" s="6">
        <f>10.96+84.04</f>
        <v>95</v>
      </c>
      <c r="K123" s="6">
        <f t="shared" ref="K123:L123" si="2">74.04+84.04</f>
        <v>158.08000000000001</v>
      </c>
      <c r="L123" s="6">
        <f t="shared" si="2"/>
        <v>158.08000000000001</v>
      </c>
      <c r="M123" s="6">
        <v>95</v>
      </c>
      <c r="N123" s="6"/>
      <c r="O123" s="6"/>
      <c r="P123" s="6"/>
      <c r="Q123" s="6"/>
    </row>
    <row r="124" spans="1:17" ht="15.75" customHeight="1" x14ac:dyDescent="0.2">
      <c r="A124" s="1">
        <v>46003</v>
      </c>
      <c r="B124" s="2" t="s">
        <v>18</v>
      </c>
      <c r="C124" s="2" t="s">
        <v>208</v>
      </c>
      <c r="D124" s="6"/>
      <c r="E124" s="6"/>
      <c r="F124" s="6"/>
      <c r="G124" s="6"/>
      <c r="H124" s="6">
        <f>19.45*(1+0.05+7.55/63.21)</f>
        <v>22.74566880240468</v>
      </c>
      <c r="I124" s="6">
        <v>100</v>
      </c>
      <c r="J124" s="6"/>
      <c r="K124" s="6"/>
      <c r="L124" s="6">
        <f>18*(1+0.05+7.55/63.21)</f>
        <v>21.049976269577598</v>
      </c>
      <c r="M124" s="6"/>
      <c r="N124" s="6">
        <f>22.25*(1+0.05+7.55/63.21)+30.18</f>
        <v>56.200109555450084</v>
      </c>
      <c r="O124" s="6"/>
      <c r="P124" s="6"/>
      <c r="Q124" s="6"/>
    </row>
    <row r="125" spans="1:17" ht="15.75" customHeight="1" x14ac:dyDescent="0.2">
      <c r="A125" s="1">
        <v>46019</v>
      </c>
      <c r="B125" s="2" t="s">
        <v>209</v>
      </c>
      <c r="C125" s="2" t="s">
        <v>83</v>
      </c>
      <c r="D125" s="6">
        <f>20.89*1.05*1.15</f>
        <v>25.224674999999998</v>
      </c>
      <c r="E125" s="6"/>
      <c r="F125" s="6">
        <f>18.99*1.05*1.15</f>
        <v>22.930424999999996</v>
      </c>
      <c r="G125" s="6"/>
      <c r="H125" s="6">
        <f>23.99*1.05*1.15</f>
        <v>28.967924999999997</v>
      </c>
      <c r="I125" s="6"/>
      <c r="J125" s="6"/>
      <c r="K125" s="6"/>
      <c r="L125" s="6">
        <f>19.19*1.05*1.15</f>
        <v>23.171925000000002</v>
      </c>
      <c r="M125" s="6">
        <f>111.44*1.15</f>
        <v>128.15599999999998</v>
      </c>
      <c r="N125" s="6"/>
      <c r="O125" s="6"/>
      <c r="P125" s="6">
        <f>(3.99+19.09)*1.05*1.15</f>
        <v>27.869099999999996</v>
      </c>
      <c r="Q125" s="6"/>
    </row>
    <row r="126" spans="1:17" ht="15.75" customHeight="1" x14ac:dyDescent="0.2">
      <c r="A126" s="1">
        <v>46019</v>
      </c>
      <c r="B126" s="2" t="s">
        <v>128</v>
      </c>
      <c r="C126" s="2" t="s">
        <v>210</v>
      </c>
      <c r="D126" s="6">
        <f>23.89*1.1304461258</f>
        <v>27.006357945362002</v>
      </c>
      <c r="E126" s="6">
        <f>130</f>
        <v>130</v>
      </c>
      <c r="F126" s="6">
        <f>22.05*1.1304461258</f>
        <v>24.92633707389</v>
      </c>
      <c r="G126" s="6"/>
      <c r="H126" s="6">
        <f>24.68*1.1304461258</f>
        <v>27.899410384744002</v>
      </c>
      <c r="I126" s="6"/>
      <c r="J126" s="6"/>
      <c r="K126" s="6"/>
      <c r="L126" s="6">
        <f>21.53*1.1304461258</f>
        <v>24.338505088474001</v>
      </c>
      <c r="M126" s="6"/>
      <c r="N126" s="6"/>
      <c r="O126" s="6"/>
      <c r="P126" s="6">
        <f>22.84*1.1304461258</f>
        <v>25.819389513272</v>
      </c>
      <c r="Q126" s="6"/>
    </row>
    <row r="127" spans="1:17" ht="12.75" x14ac:dyDescent="0.2">
      <c r="A127" s="1">
        <v>46019</v>
      </c>
      <c r="B127" s="2" t="s">
        <v>211</v>
      </c>
      <c r="C127" s="2" t="s">
        <v>212</v>
      </c>
      <c r="D127" s="6">
        <f>124.92/6</f>
        <v>20.82</v>
      </c>
      <c r="E127" s="6"/>
      <c r="F127" s="6">
        <f>124.92/6</f>
        <v>20.82</v>
      </c>
      <c r="G127" s="6"/>
      <c r="H127" s="6">
        <f>124.92/6</f>
        <v>20.82</v>
      </c>
      <c r="I127" s="6"/>
      <c r="J127" s="6"/>
      <c r="K127" s="6"/>
      <c r="L127" s="6">
        <f>124.92/6</f>
        <v>20.82</v>
      </c>
      <c r="M127" s="6"/>
      <c r="N127" s="6"/>
      <c r="O127" s="6">
        <f>124.92*(5/6)</f>
        <v>104.10000000000001</v>
      </c>
      <c r="P127" s="6">
        <f>124.92/6</f>
        <v>20.82</v>
      </c>
      <c r="Q127" s="6"/>
    </row>
    <row r="128" spans="1:17" ht="12.75" x14ac:dyDescent="0.2">
      <c r="A128" s="7">
        <v>46018</v>
      </c>
      <c r="B128" s="2" t="s">
        <v>213</v>
      </c>
      <c r="C128" s="2" t="s">
        <v>214</v>
      </c>
      <c r="D128" s="6">
        <v>19.95</v>
      </c>
      <c r="E128" s="6">
        <v>34.65</v>
      </c>
      <c r="F128" s="6"/>
      <c r="G128" s="6"/>
      <c r="H128" s="6"/>
      <c r="I128" s="6"/>
      <c r="J128" s="6"/>
      <c r="K128" s="6"/>
      <c r="L128" s="6"/>
      <c r="M128" s="6"/>
      <c r="N128" s="6">
        <v>14.7</v>
      </c>
      <c r="O128" s="6"/>
      <c r="P128" s="6"/>
      <c r="Q128" s="6"/>
    </row>
    <row r="129" spans="1:17" ht="12.75" x14ac:dyDescent="0.2">
      <c r="A129" s="1">
        <v>46026</v>
      </c>
      <c r="B129" s="2" t="s">
        <v>215</v>
      </c>
      <c r="C129" s="2" t="s">
        <v>216</v>
      </c>
      <c r="D129" s="6">
        <v>30</v>
      </c>
      <c r="E129" s="6">
        <v>65</v>
      </c>
      <c r="F129" s="6">
        <v>30</v>
      </c>
      <c r="G129" s="6"/>
      <c r="H129" s="6">
        <v>30</v>
      </c>
      <c r="I129" s="6">
        <v>115</v>
      </c>
      <c r="J129" s="6"/>
      <c r="K129" s="6"/>
      <c r="L129" s="6">
        <v>30</v>
      </c>
      <c r="M129" s="6"/>
      <c r="N129" s="6">
        <v>30</v>
      </c>
      <c r="O129" s="6"/>
      <c r="P129" s="6">
        <v>30</v>
      </c>
      <c r="Q129" s="6"/>
    </row>
    <row r="130" spans="1:17" ht="12.75" x14ac:dyDescent="0.2">
      <c r="A130" s="1">
        <v>46063</v>
      </c>
      <c r="B130" s="2" t="s">
        <v>217</v>
      </c>
      <c r="C130" s="2"/>
      <c r="D130" s="6">
        <f>13.64</f>
        <v>13.64</v>
      </c>
      <c r="E130" s="6"/>
      <c r="F130" s="6"/>
      <c r="G130" s="6"/>
      <c r="H130" s="6"/>
      <c r="I130" s="6"/>
      <c r="J130" s="6"/>
      <c r="K130" s="6">
        <v>13.64</v>
      </c>
      <c r="L130" s="6"/>
      <c r="M130" s="6"/>
      <c r="N130" s="6"/>
      <c r="O130" s="6"/>
      <c r="P130" s="6"/>
      <c r="Q13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EXPORT_TXN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 Lin</cp:lastModifiedBy>
  <dcterms:created xsi:type="dcterms:W3CDTF">2026-02-28T15:22:35Z</dcterms:created>
  <dcterms:modified xsi:type="dcterms:W3CDTF">2026-02-28T15:22:35Z</dcterms:modified>
</cp:coreProperties>
</file>